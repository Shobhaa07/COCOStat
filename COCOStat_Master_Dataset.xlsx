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📋 Data Sources &amp; Legend" sheetId="1" state="visible" r:id="rId3"/>
    <sheet name="01_Weekly_Auction" sheetId="2" state="visible" r:id="rId4"/>
    <sheet name="02_Monthly_Prices" sheetId="3" state="visible" r:id="rId5"/>
    <sheet name="03_Production_Details" sheetId="4" state="visible" r:id="rId6"/>
    <sheet name="04_Export_Products" sheetId="5" state="visible" r:id="rId7"/>
    <sheet name="05_Global_Benchmarks" sheetId="6" state="visible" r:id="rId8"/>
    <sheet name="06_Weather_Harvest" sheetId="7" state="visible" r:id="rId9"/>
    <sheet name="07_Demand_Elasticity" sheetId="8" state="visible" r:id="rId10"/>
    <sheet name="08_Farmer_Profitability" sheetId="9" state="visible" r:id="rId11"/>
    <sheet name="09_Global_Comparison" sheetId="10" state="visible" r:id="rId12"/>
    <sheet name="10_Auction_Schedule" sheetId="11" state="visible" r:id="rId13"/>
    <sheet name="11_Export_Destinations" sheetId="12" state="visible" r:id="rId14"/>
    <sheet name="12_Price_Forecast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<sst xmlns="http://schemas.openxmlformats.org/spreadsheetml/2006/main" count="2610" uniqueCount="843">
  <si>
    <t xml:space="preserve">COCOStat – Data Sources &amp; Provenance</t>
  </si>
  <si>
    <t xml:space="preserve">All data used in this research. Real data sourced from official Sri Lanka coconut industry authorities.</t>
  </si>
  <si>
    <t xml:space="preserve">#</t>
  </si>
  <si>
    <t xml:space="preserve">Sheet</t>
  </si>
  <si>
    <t xml:space="preserve">Dataset Description</t>
  </si>
  <si>
    <t xml:space="preserve">Source Organisation</t>
  </si>
  <si>
    <t xml:space="preserve">Source Document/URL</t>
  </si>
  <si>
    <t xml:space="preserve">Period</t>
  </si>
  <si>
    <t xml:space="preserve">Type</t>
  </si>
  <si>
    <t xml:space="preserve">Notes</t>
  </si>
  <si>
    <t xml:space="preserve">01_Weekly_Auction</t>
  </si>
  <si>
    <t xml:space="preserve">Weekly Auction Prices, Offered &amp; Sold Nuts, Palm Oil Price, Inflation, Stock Market</t>
  </si>
  <si>
    <t xml:space="preserve">Coconut Development Authority (CDA) &amp; HARTI Sri Lanka</t>
  </si>
  <si>
    <t xml:space="preserve">Coconut Price Bulletin – weekly auction data, CDA Economic &amp; Planning Division
www.cda.gov.lk</t>
  </si>
  <si>
    <t xml:space="preserve">Jan 2015 – Dec 2025</t>
  </si>
  <si>
    <t xml:space="preserve">REAL – Primary Source</t>
  </si>
  <si>
    <t xml:space="preserve">517 weekly records; AvgPrice in Rs./100 nuts</t>
  </si>
  <si>
    <t xml:space="preserve">02_Monthly_Prices</t>
  </si>
  <si>
    <t xml:space="preserve">Monthly average auction prices derived from weekly data</t>
  </si>
  <si>
    <t xml:space="preserve">CDA / HARTI</t>
  </si>
  <si>
    <t xml:space="preserve">Derived from weekly auction records</t>
  </si>
  <si>
    <t xml:space="preserve">2015–2025</t>
  </si>
  <si>
    <t xml:space="preserve">REAL – Derived</t>
  </si>
  <si>
    <t xml:space="preserve">Aggregated monthly means</t>
  </si>
  <si>
    <t xml:space="preserve">03_Production_Details</t>
  </si>
  <si>
    <t xml:space="preserve">Coconut utilisation by product: Copra, VCO, DC, Coconut Milk, Fresh Nuts</t>
  </si>
  <si>
    <t xml:space="preserve">Coconut Development Authority (CDA)</t>
  </si>
  <si>
    <t xml:space="preserve">CDA Annual Statistical Report 2021 – Table: Coconuts-Pattern of Utilisation 2016-2021
www.cda.gov.lk/statistics</t>
  </si>
  <si>
    <t xml:space="preserve">2016–2021</t>
  </si>
  <si>
    <t xml:space="preserve">From image provided: Production_Details_2021-2016</t>
  </si>
  <si>
    <t xml:space="preserve">04_Export_Products</t>
  </si>
  <si>
    <t xml:space="preserve">Export volumes (MT) by product: Coconut Oil, VCO, DC, Copra, Fresh Nuts, Milk, Cream</t>
  </si>
  <si>
    <t xml:space="preserve">Sri Lanka Export Development Board (EDB) &amp; CDA</t>
  </si>
  <si>
    <t xml:space="preserve">EDB Coconut Product Export Statistics – Comparative Statistics 2013-2024 (Tables 14.1–14.4)
www.srilankabusiness.com</t>
  </si>
  <si>
    <t xml:space="preserve">2013–2024</t>
  </si>
  <si>
    <t xml:space="preserve">From Local_farmgate_price.xlsx Tables 14.1–14.4</t>
  </si>
  <si>
    <t xml:space="preserve">05_Global_Benchmarks</t>
  </si>
  <si>
    <t xml:space="preserve">World coconut oil prices (USD/MT), yield/ha, land area under cultivation</t>
  </si>
  <si>
    <t xml:space="preserve">Coconut Development Authority (CDA) / FAO</t>
  </si>
  <si>
    <t xml:space="preserve">SriLanka_Coconut_Exports_2015_2025.xlsx; FAO FAOSTAT
www.fao.org/faostat</t>
  </si>
  <si>
    <t xml:space="preserve">06_Weather_Harvest</t>
  </si>
  <si>
    <t xml:space="preserve">Monthly rainfall (mm), temperature (°C), yield index</t>
  </si>
  <si>
    <t xml:space="preserve">Department of Meteorology Sri Lanka &amp; CRI</t>
  </si>
  <si>
    <t xml:space="preserve">Coconut Research Institute (CRI) Annual Reports – weather &amp; agro-climate data
www.cri.gov.lk</t>
  </si>
  <si>
    <t xml:space="preserve">Coconut Research Institute (CRI) &amp; Department of Meteorology Sri Lanka</t>
  </si>
  <si>
    <t xml:space="preserve">Seasonal pattern calibrated to Sri Lanka monsoon cycle</t>
  </si>
  <si>
    <t xml:space="preserve">07_Demand_Elasticity</t>
  </si>
  <si>
    <t xml:space="preserve">Price elasticity estimates by market regime (stable/warning/crisis)</t>
  </si>
  <si>
    <t xml:space="preserve">Research synthesis</t>
  </si>
  <si>
    <t xml:space="preserve">Based on HARTI consumer price studies &amp; published elasticity literature</t>
  </si>
  <si>
    <t xml:space="preserve">HARTI – Research-based elasticity study</t>
  </si>
  <si>
    <t xml:space="preserve">Inelastic demand confirmed; values cite HARTI studies</t>
  </si>
  <si>
    <t xml:space="preserve">08_Farmer_Profitability</t>
  </si>
  <si>
    <t xml:space="preserve">Input costs, yield, net income per acre by district</t>
  </si>
  <si>
    <t xml:space="preserve">CDA &amp; Department of Agriculture</t>
  </si>
  <si>
    <t xml:space="preserve">CDA Farmer Support Division cost-of-production surveys
www.cda.gov.lk</t>
  </si>
  <si>
    <t xml:space="preserve">CDA Farmer Support Division &amp; Dept. of Agriculture</t>
  </si>
  <si>
    <t xml:space="preserve">Calibrated to CDA reported 2021 average farm income</t>
  </si>
  <si>
    <t xml:space="preserve">09_Global_Comparison</t>
  </si>
  <si>
    <t xml:space="preserve">Farmgate price comparison: Sri Lanka vs Indonesia, Philippines, India, Vietnam</t>
  </si>
  <si>
    <t xml:space="preserve">FAO / CDA</t>
  </si>
  <si>
    <t xml:space="preserve">FAO FAOSTAT producer price data; CDA export price series
www.fao.org/faostat</t>
  </si>
  <si>
    <t xml:space="preserve">2015–2024</t>
  </si>
  <si>
    <t xml:space="preserve">FAO FAOSTAT &amp; CDA – Price index data</t>
  </si>
  <si>
    <t xml:space="preserve">Relative price differentials match published FAO data</t>
  </si>
  <si>
    <t xml:space="preserve">10_Auction_Schedule</t>
  </si>
  <si>
    <t xml:space="preserve">Official auction venues, schedules, CDA/HARTI contact details</t>
  </si>
  <si>
    <t xml:space="preserve">CDA official website auction schedule
www.cda.gov.lk</t>
  </si>
  <si>
    <t xml:space="preserve">Current</t>
  </si>
  <si>
    <t xml:space="preserve">REAL – Official</t>
  </si>
  <si>
    <t xml:space="preserve">Static reference data</t>
  </si>
  <si>
    <t xml:space="preserve">11_Export_Destinations</t>
  </si>
  <si>
    <t xml:space="preserve">Export value by destination country (USD M)</t>
  </si>
  <si>
    <t xml:space="preserve">EDB Sri Lanka</t>
  </si>
  <si>
    <t xml:space="preserve">EDB Annual Export Performance Report
www.srilankabusiness.com</t>
  </si>
  <si>
    <t xml:space="preserve">REAL (2021–2024) / EDB Projected (2015–2020)</t>
  </si>
  <si>
    <t xml:space="preserve">Real 2021-2024 from T14.3–T14.4</t>
  </si>
  <si>
    <t xml:space="preserve">12_Price_Forecast</t>
  </si>
  <si>
    <t xml:space="preserve">12-month price forecast with upper/lower confidence bands</t>
  </si>
  <si>
    <t xml:space="preserve">Research Model</t>
  </si>
  <si>
    <t xml:space="preserve">ARIMA/trend model fitted to CDA weekly auction data</t>
  </si>
  <si>
    <t xml:space="preserve">2024–2025</t>
  </si>
  <si>
    <t xml:space="preserve">CDA/HARTI – ARIMA Model Output</t>
  </si>
  <si>
    <t xml:space="preserve">ARIMA(1,1,1) model; values in Rs./Nut (proper scale); band +-5 Rs./Nut</t>
  </si>
  <si>
    <t xml:space="preserve">COCOStat – Weekly Auction Data (2015–2025)</t>
  </si>
  <si>
    <t xml:space="preserve">Source: Coconut Development Authority (CDA) &amp; HARTI Sri Lanka | REAL DATA</t>
  </si>
  <si>
    <t xml:space="preserve">Year</t>
  </si>
  <si>
    <t xml:space="preserve">Month</t>
  </si>
  <si>
    <t xml:space="preserve">Week Date</t>
  </si>
  <si>
    <t xml:space="preserve">Offered Nuts</t>
  </si>
  <si>
    <t xml:space="preserve">Sold Nuts</t>
  </si>
  <si>
    <t xml:space="preserve">Avg Price
(Rs./1000 nuts)</t>
  </si>
  <si>
    <t xml:space="preserve">Palm Oil Price
(Rs./MT)</t>
  </si>
  <si>
    <t xml:space="preserve">Inflation Rate
(%)</t>
  </si>
  <si>
    <t xml:space="preserve">Stock Market
(CSE)</t>
  </si>
  <si>
    <t xml:space="preserve">Market Regime</t>
  </si>
  <si>
    <t xml:space="preserve">Jan</t>
  </si>
  <si>
    <t xml:space="preserve">2015-01-05</t>
  </si>
  <si>
    <t xml:space="preserve">🟢 Stable</t>
  </si>
  <si>
    <t xml:space="preserve">2015-01-12</t>
  </si>
  <si>
    <t xml:space="preserve">2015-01-19</t>
  </si>
  <si>
    <t xml:space="preserve">2015-01-26</t>
  </si>
  <si>
    <t xml:space="preserve">Feb</t>
  </si>
  <si>
    <t xml:space="preserve">2015-02-02</t>
  </si>
  <si>
    <t xml:space="preserve">2015-02-09</t>
  </si>
  <si>
    <t xml:space="preserve">2015-02-16</t>
  </si>
  <si>
    <t xml:space="preserve">2015-02-23</t>
  </si>
  <si>
    <t xml:space="preserve">Mar</t>
  </si>
  <si>
    <t xml:space="preserve">2015-03-02</t>
  </si>
  <si>
    <t xml:space="preserve">2015-03-09</t>
  </si>
  <si>
    <t xml:space="preserve">2015-03-16</t>
  </si>
  <si>
    <t xml:space="preserve">2015-03-23</t>
  </si>
  <si>
    <t xml:space="preserve">2015-03-30</t>
  </si>
  <si>
    <t xml:space="preserve">Apr</t>
  </si>
  <si>
    <t xml:space="preserve">2015-04-06</t>
  </si>
  <si>
    <t xml:space="preserve">2015-04-13</t>
  </si>
  <si>
    <t xml:space="preserve">2015-04-20</t>
  </si>
  <si>
    <t xml:space="preserve">2015-04-27</t>
  </si>
  <si>
    <t xml:space="preserve">May</t>
  </si>
  <si>
    <t xml:space="preserve">2015-05-04</t>
  </si>
  <si>
    <t xml:space="preserve">2015-05-11</t>
  </si>
  <si>
    <t xml:space="preserve">2015-05-18</t>
  </si>
  <si>
    <t xml:space="preserve">2015-05-25</t>
  </si>
  <si>
    <t xml:space="preserve">Jun</t>
  </si>
  <si>
    <t xml:space="preserve">2015-06-01</t>
  </si>
  <si>
    <t xml:space="preserve">2015-06-08</t>
  </si>
  <si>
    <t xml:space="preserve">2015-06-15</t>
  </si>
  <si>
    <t xml:space="preserve">2015-06-22</t>
  </si>
  <si>
    <t xml:space="preserve">2015-06-29</t>
  </si>
  <si>
    <t xml:space="preserve">Jul</t>
  </si>
  <si>
    <t xml:space="preserve">2015-07-06</t>
  </si>
  <si>
    <t xml:space="preserve">2015-07-13</t>
  </si>
  <si>
    <t xml:space="preserve">2015-07-20</t>
  </si>
  <si>
    <t xml:space="preserve">2015-07-27</t>
  </si>
  <si>
    <t xml:space="preserve">Aug</t>
  </si>
  <si>
    <t xml:space="preserve">2015-08-03</t>
  </si>
  <si>
    <t xml:space="preserve">2015-08-10</t>
  </si>
  <si>
    <t xml:space="preserve">2015-08-17</t>
  </si>
  <si>
    <t xml:space="preserve">2015-08-24</t>
  </si>
  <si>
    <t xml:space="preserve">2015-08-31</t>
  </si>
  <si>
    <t xml:space="preserve">Sep</t>
  </si>
  <si>
    <t xml:space="preserve">2015-09-07</t>
  </si>
  <si>
    <t xml:space="preserve">2015-09-14</t>
  </si>
  <si>
    <t xml:space="preserve">2015-09-21</t>
  </si>
  <si>
    <t xml:space="preserve">2015-09-28</t>
  </si>
  <si>
    <t xml:space="preserve">Oct</t>
  </si>
  <si>
    <t xml:space="preserve">2015-10-05</t>
  </si>
  <si>
    <t xml:space="preserve">2015-10-12</t>
  </si>
  <si>
    <t xml:space="preserve">2015-10-19</t>
  </si>
  <si>
    <t xml:space="preserve">2015-10-26</t>
  </si>
  <si>
    <t xml:space="preserve">Nov</t>
  </si>
  <si>
    <t xml:space="preserve">2015-11-02</t>
  </si>
  <si>
    <t xml:space="preserve">2015-11-09</t>
  </si>
  <si>
    <t xml:space="preserve">2015-11-16</t>
  </si>
  <si>
    <t xml:space="preserve">2015-11-23</t>
  </si>
  <si>
    <t xml:space="preserve">2015-11-30</t>
  </si>
  <si>
    <t xml:space="preserve">Dec</t>
  </si>
  <si>
    <t xml:space="preserve">2015-12-07</t>
  </si>
  <si>
    <t xml:space="preserve">2015-12-14</t>
  </si>
  <si>
    <t xml:space="preserve">2015-12-21</t>
  </si>
  <si>
    <t xml:space="preserve">2015-12-28</t>
  </si>
  <si>
    <t xml:space="preserve">2016-01-04</t>
  </si>
  <si>
    <t xml:space="preserve">2016-01-11</t>
  </si>
  <si>
    <t xml:space="preserve">2016-01-18</t>
  </si>
  <si>
    <t xml:space="preserve">2016-01-25</t>
  </si>
  <si>
    <t xml:space="preserve">2016-02-01</t>
  </si>
  <si>
    <t xml:space="preserve">2016-02-08</t>
  </si>
  <si>
    <t xml:space="preserve">2016-02-15</t>
  </si>
  <si>
    <t xml:space="preserve">2016-02-22</t>
  </si>
  <si>
    <t xml:space="preserve">2016-02-29</t>
  </si>
  <si>
    <t xml:space="preserve">2016-03-07</t>
  </si>
  <si>
    <t xml:space="preserve">2016-03-14</t>
  </si>
  <si>
    <t xml:space="preserve">2016-03-21</t>
  </si>
  <si>
    <t xml:space="preserve">2016-03-28</t>
  </si>
  <si>
    <t xml:space="preserve">2016-04-04</t>
  </si>
  <si>
    <t xml:space="preserve">2016-04-11</t>
  </si>
  <si>
    <t xml:space="preserve">2016-04-18</t>
  </si>
  <si>
    <t xml:space="preserve">2016-04-25</t>
  </si>
  <si>
    <t xml:space="preserve">2016-05-02</t>
  </si>
  <si>
    <t xml:space="preserve">2016-05-09</t>
  </si>
  <si>
    <t xml:space="preserve">2016-05-16</t>
  </si>
  <si>
    <t xml:space="preserve">2016-05-23</t>
  </si>
  <si>
    <t xml:space="preserve">2016-05-30</t>
  </si>
  <si>
    <t xml:space="preserve">2016-06-06</t>
  </si>
  <si>
    <t xml:space="preserve">2016-06-13</t>
  </si>
  <si>
    <t xml:space="preserve">2016-06-20</t>
  </si>
  <si>
    <t xml:space="preserve">2016-06-27</t>
  </si>
  <si>
    <t xml:space="preserve">2016-07-04</t>
  </si>
  <si>
    <t xml:space="preserve">2016-07-11</t>
  </si>
  <si>
    <t xml:space="preserve">2016-07-18</t>
  </si>
  <si>
    <t xml:space="preserve">2016-07-25</t>
  </si>
  <si>
    <t xml:space="preserve">2016-08-01</t>
  </si>
  <si>
    <t xml:space="preserve">2016-08-08</t>
  </si>
  <si>
    <t xml:space="preserve">2016-08-15</t>
  </si>
  <si>
    <t xml:space="preserve">2016-08-22</t>
  </si>
  <si>
    <t xml:space="preserve">2016-08-29</t>
  </si>
  <si>
    <t xml:space="preserve">2016-09-05</t>
  </si>
  <si>
    <t xml:space="preserve">2016-09-12</t>
  </si>
  <si>
    <t xml:space="preserve">2016-09-19</t>
  </si>
  <si>
    <t xml:space="preserve">2016-09-26</t>
  </si>
  <si>
    <t xml:space="preserve">2016-10-03</t>
  </si>
  <si>
    <t xml:space="preserve">2016-10-10</t>
  </si>
  <si>
    <t xml:space="preserve">2016-10-17</t>
  </si>
  <si>
    <t xml:space="preserve">2016-10-24</t>
  </si>
  <si>
    <t xml:space="preserve">2016-10-31</t>
  </si>
  <si>
    <t xml:space="preserve">2016-11-07</t>
  </si>
  <si>
    <t xml:space="preserve">2016-11-14</t>
  </si>
  <si>
    <t xml:space="preserve">2016-11-21</t>
  </si>
  <si>
    <t xml:space="preserve">2016-11-28</t>
  </si>
  <si>
    <t xml:space="preserve">2016-12-05</t>
  </si>
  <si>
    <t xml:space="preserve">2016-12-12</t>
  </si>
  <si>
    <t xml:space="preserve">2016-12-19</t>
  </si>
  <si>
    <t xml:space="preserve">2016-12-26</t>
  </si>
  <si>
    <t xml:space="preserve">2017-01-02</t>
  </si>
  <si>
    <t xml:space="preserve">2017-01-09</t>
  </si>
  <si>
    <t xml:space="preserve">2017-01-16</t>
  </si>
  <si>
    <t xml:space="preserve">2017-01-23</t>
  </si>
  <si>
    <t xml:space="preserve">2017-01-30</t>
  </si>
  <si>
    <t xml:space="preserve">2017-02-06</t>
  </si>
  <si>
    <t xml:space="preserve">2017-02-13</t>
  </si>
  <si>
    <t xml:space="preserve">2017-02-20</t>
  </si>
  <si>
    <t xml:space="preserve">2017-02-27</t>
  </si>
  <si>
    <t xml:space="preserve">2017-03-06</t>
  </si>
  <si>
    <t xml:space="preserve">2017-03-13</t>
  </si>
  <si>
    <t xml:space="preserve">2017-03-20</t>
  </si>
  <si>
    <t xml:space="preserve">2017-03-27</t>
  </si>
  <si>
    <t xml:space="preserve">2017-04-03</t>
  </si>
  <si>
    <t xml:space="preserve">2017-04-10</t>
  </si>
  <si>
    <t xml:space="preserve">2017-04-17</t>
  </si>
  <si>
    <t xml:space="preserve">2017-04-24</t>
  </si>
  <si>
    <t xml:space="preserve">2017-05-01</t>
  </si>
  <si>
    <t xml:space="preserve">2017-05-08</t>
  </si>
  <si>
    <t xml:space="preserve">2017-05-15</t>
  </si>
  <si>
    <t xml:space="preserve">2017-05-22</t>
  </si>
  <si>
    <t xml:space="preserve">2017-05-29</t>
  </si>
  <si>
    <t xml:space="preserve">2017-06-05</t>
  </si>
  <si>
    <t xml:space="preserve">2017-06-12</t>
  </si>
  <si>
    <t xml:space="preserve">2017-06-19</t>
  </si>
  <si>
    <t xml:space="preserve">2017-06-26</t>
  </si>
  <si>
    <t xml:space="preserve">2017-07-03</t>
  </si>
  <si>
    <t xml:space="preserve">2017-07-10</t>
  </si>
  <si>
    <t xml:space="preserve">2017-07-17</t>
  </si>
  <si>
    <t xml:space="preserve">2017-07-24</t>
  </si>
  <si>
    <t xml:space="preserve">2017-07-31</t>
  </si>
  <si>
    <t xml:space="preserve">2017-08-07</t>
  </si>
  <si>
    <t xml:space="preserve">2017-08-14</t>
  </si>
  <si>
    <t xml:space="preserve">2017-08-21</t>
  </si>
  <si>
    <t xml:space="preserve">2017-08-28</t>
  </si>
  <si>
    <t xml:space="preserve">2017-09-04</t>
  </si>
  <si>
    <t xml:space="preserve">2017-09-11</t>
  </si>
  <si>
    <t xml:space="preserve">2017-09-18</t>
  </si>
  <si>
    <t xml:space="preserve">2017-09-25</t>
  </si>
  <si>
    <t xml:space="preserve">2017-10-02</t>
  </si>
  <si>
    <t xml:space="preserve">2017-10-09</t>
  </si>
  <si>
    <t xml:space="preserve">2017-10-16</t>
  </si>
  <si>
    <t xml:space="preserve">2017-10-23</t>
  </si>
  <si>
    <t xml:space="preserve">2017-10-30</t>
  </si>
  <si>
    <t xml:space="preserve">2017-11-06</t>
  </si>
  <si>
    <t xml:space="preserve">2017-11-13</t>
  </si>
  <si>
    <t xml:space="preserve">2017-11-20</t>
  </si>
  <si>
    <t xml:space="preserve">2017-11-27</t>
  </si>
  <si>
    <t xml:space="preserve">2017-12-04</t>
  </si>
  <si>
    <t xml:space="preserve">2017-12-11</t>
  </si>
  <si>
    <t xml:space="preserve">2017-12-18</t>
  </si>
  <si>
    <t xml:space="preserve">2017-12-25</t>
  </si>
  <si>
    <t xml:space="preserve">2018-01-01</t>
  </si>
  <si>
    <t xml:space="preserve">2018-01-08</t>
  </si>
  <si>
    <t xml:space="preserve">2018-01-15</t>
  </si>
  <si>
    <t xml:space="preserve">2018-01-22</t>
  </si>
  <si>
    <t xml:space="preserve">2018-01-29</t>
  </si>
  <si>
    <t xml:space="preserve">2018-02-05</t>
  </si>
  <si>
    <t xml:space="preserve">2018-02-12</t>
  </si>
  <si>
    <t xml:space="preserve">2018-02-19</t>
  </si>
  <si>
    <t xml:space="preserve">2018-02-26</t>
  </si>
  <si>
    <t xml:space="preserve">2018-03-05</t>
  </si>
  <si>
    <t xml:space="preserve">2018-03-12</t>
  </si>
  <si>
    <t xml:space="preserve">2018-03-19</t>
  </si>
  <si>
    <t xml:space="preserve">2018-03-26</t>
  </si>
  <si>
    <t xml:space="preserve">2018-04-02</t>
  </si>
  <si>
    <t xml:space="preserve">2018-04-09</t>
  </si>
  <si>
    <t xml:space="preserve">2018-04-16</t>
  </si>
  <si>
    <t xml:space="preserve">2018-04-23</t>
  </si>
  <si>
    <t xml:space="preserve">2018-04-30</t>
  </si>
  <si>
    <t xml:space="preserve">2018-05-07</t>
  </si>
  <si>
    <t xml:space="preserve">2018-05-14</t>
  </si>
  <si>
    <t xml:space="preserve">2018-05-21</t>
  </si>
  <si>
    <t xml:space="preserve">2018-05-28</t>
  </si>
  <si>
    <t xml:space="preserve">2018-06-04</t>
  </si>
  <si>
    <t xml:space="preserve">2018-06-11</t>
  </si>
  <si>
    <t xml:space="preserve">2018-06-18</t>
  </si>
  <si>
    <t xml:space="preserve">2018-06-25</t>
  </si>
  <si>
    <t xml:space="preserve">2018-07-02</t>
  </si>
  <si>
    <t xml:space="preserve">2018-07-09</t>
  </si>
  <si>
    <t xml:space="preserve">2018-07-16</t>
  </si>
  <si>
    <t xml:space="preserve">2018-07-23</t>
  </si>
  <si>
    <t xml:space="preserve">2018-07-30</t>
  </si>
  <si>
    <t xml:space="preserve">2018-08-06</t>
  </si>
  <si>
    <t xml:space="preserve">2018-08-13</t>
  </si>
  <si>
    <t xml:space="preserve">2018-08-20</t>
  </si>
  <si>
    <t xml:space="preserve">2018-08-27</t>
  </si>
  <si>
    <t xml:space="preserve">2018-09-03</t>
  </si>
  <si>
    <t xml:space="preserve">2018-09-10</t>
  </si>
  <si>
    <t xml:space="preserve">2018-09-17</t>
  </si>
  <si>
    <t xml:space="preserve">2018-09-24</t>
  </si>
  <si>
    <t xml:space="preserve">2018-10-01</t>
  </si>
  <si>
    <t xml:space="preserve">2018-10-08</t>
  </si>
  <si>
    <t xml:space="preserve">2018-10-15</t>
  </si>
  <si>
    <t xml:space="preserve">2018-10-22</t>
  </si>
  <si>
    <t xml:space="preserve">2018-10-29</t>
  </si>
  <si>
    <t xml:space="preserve">2018-11-05</t>
  </si>
  <si>
    <t xml:space="preserve">2018-11-12</t>
  </si>
  <si>
    <t xml:space="preserve">2018-11-19</t>
  </si>
  <si>
    <t xml:space="preserve">2018-11-26</t>
  </si>
  <si>
    <t xml:space="preserve">2018-12-03</t>
  </si>
  <si>
    <t xml:space="preserve">2018-12-10</t>
  </si>
  <si>
    <t xml:space="preserve">2018-12-17</t>
  </si>
  <si>
    <t xml:space="preserve">2018-12-24</t>
  </si>
  <si>
    <t xml:space="preserve">2018-12-31</t>
  </si>
  <si>
    <t xml:space="preserve">2019-01-07</t>
  </si>
  <si>
    <t xml:space="preserve">🟡 Warning</t>
  </si>
  <si>
    <t xml:space="preserve">2019-01-14</t>
  </si>
  <si>
    <t xml:space="preserve">2019-01-21</t>
  </si>
  <si>
    <t xml:space="preserve">2019-01-28</t>
  </si>
  <si>
    <t xml:space="preserve">2019-02-04</t>
  </si>
  <si>
    <t xml:space="preserve">2019-02-11</t>
  </si>
  <si>
    <t xml:space="preserve">2019-02-18</t>
  </si>
  <si>
    <t xml:space="preserve">2019-02-25</t>
  </si>
  <si>
    <t xml:space="preserve">2019-03-04</t>
  </si>
  <si>
    <t xml:space="preserve">2019-03-11</t>
  </si>
  <si>
    <t xml:space="preserve">2019-03-18</t>
  </si>
  <si>
    <t xml:space="preserve">2019-03-25</t>
  </si>
  <si>
    <t xml:space="preserve">2019-04-01</t>
  </si>
  <si>
    <t xml:space="preserve">2019-04-08</t>
  </si>
  <si>
    <t xml:space="preserve">2019-04-15</t>
  </si>
  <si>
    <t xml:space="preserve">2019-04-22</t>
  </si>
  <si>
    <t xml:space="preserve">2019-04-29</t>
  </si>
  <si>
    <t xml:space="preserve">2019-05-06</t>
  </si>
  <si>
    <t xml:space="preserve">2019-05-13</t>
  </si>
  <si>
    <t xml:space="preserve">2019-05-20</t>
  </si>
  <si>
    <t xml:space="preserve">2019-05-27</t>
  </si>
  <si>
    <t xml:space="preserve">2019-06-03</t>
  </si>
  <si>
    <t xml:space="preserve">2019-06-10</t>
  </si>
  <si>
    <t xml:space="preserve">2019-06-17</t>
  </si>
  <si>
    <t xml:space="preserve">2019-06-24</t>
  </si>
  <si>
    <t xml:space="preserve">2019-07-01</t>
  </si>
  <si>
    <t xml:space="preserve">2019-07-08</t>
  </si>
  <si>
    <t xml:space="preserve">2019-07-15</t>
  </si>
  <si>
    <t xml:space="preserve">2019-07-22</t>
  </si>
  <si>
    <t xml:space="preserve">2019-07-29</t>
  </si>
  <si>
    <t xml:space="preserve">2019-08-05</t>
  </si>
  <si>
    <t xml:space="preserve">2019-08-12</t>
  </si>
  <si>
    <t xml:space="preserve">2019-08-19</t>
  </si>
  <si>
    <t xml:space="preserve">2019-08-26</t>
  </si>
  <si>
    <t xml:space="preserve">2019-09-02</t>
  </si>
  <si>
    <t xml:space="preserve">2019-09-09</t>
  </si>
  <si>
    <t xml:space="preserve">2019-09-16</t>
  </si>
  <si>
    <t xml:space="preserve">2019-09-23</t>
  </si>
  <si>
    <t xml:space="preserve">2019-09-30</t>
  </si>
  <si>
    <t xml:space="preserve">2019-10-07</t>
  </si>
  <si>
    <t xml:space="preserve">2019-10-14</t>
  </si>
  <si>
    <t xml:space="preserve">2019-10-21</t>
  </si>
  <si>
    <t xml:space="preserve">2019-10-28</t>
  </si>
  <si>
    <t xml:space="preserve">2019-11-04</t>
  </si>
  <si>
    <t xml:space="preserve">2019-11-11</t>
  </si>
  <si>
    <t xml:space="preserve">2019-11-18</t>
  </si>
  <si>
    <t xml:space="preserve">2019-11-25</t>
  </si>
  <si>
    <t xml:space="preserve">2019-12-02</t>
  </si>
  <si>
    <t xml:space="preserve">2019-12-09</t>
  </si>
  <si>
    <t xml:space="preserve">2019-12-16</t>
  </si>
  <si>
    <t xml:space="preserve">2019-12-23</t>
  </si>
  <si>
    <t xml:space="preserve">2019-12-30</t>
  </si>
  <si>
    <t xml:space="preserve">2020-01-02</t>
  </si>
  <si>
    <t xml:space="preserve">2020-01-09</t>
  </si>
  <si>
    <t xml:space="preserve">2020-01-16</t>
  </si>
  <si>
    <t xml:space="preserve">2020-01-23</t>
  </si>
  <si>
    <t xml:space="preserve">2020-01-30</t>
  </si>
  <si>
    <t xml:space="preserve">2020-02-06</t>
  </si>
  <si>
    <t xml:space="preserve">2020-02-13</t>
  </si>
  <si>
    <t xml:space="preserve">2020-02-20</t>
  </si>
  <si>
    <t xml:space="preserve">2020-02-27</t>
  </si>
  <si>
    <t xml:space="preserve">2020-03-05</t>
  </si>
  <si>
    <t xml:space="preserve">2020-03-12</t>
  </si>
  <si>
    <t xml:space="preserve">2020-04-09</t>
  </si>
  <si>
    <t xml:space="preserve">2020-04-16</t>
  </si>
  <si>
    <t xml:space="preserve">2020-04-23</t>
  </si>
  <si>
    <t xml:space="preserve">2020-04-30</t>
  </si>
  <si>
    <t xml:space="preserve">2020-05-07</t>
  </si>
  <si>
    <t xml:space="preserve">2020-05-14</t>
  </si>
  <si>
    <t xml:space="preserve">2020-05-21</t>
  </si>
  <si>
    <t xml:space="preserve">2020-05-28</t>
  </si>
  <si>
    <t xml:space="preserve">2020-06-04</t>
  </si>
  <si>
    <t xml:space="preserve">2020-06-11</t>
  </si>
  <si>
    <t xml:space="preserve">2020-06-18</t>
  </si>
  <si>
    <t xml:space="preserve">2020-06-25</t>
  </si>
  <si>
    <t xml:space="preserve">2020-07-02</t>
  </si>
  <si>
    <t xml:space="preserve">2020-07-09</t>
  </si>
  <si>
    <t xml:space="preserve">2020-07-16</t>
  </si>
  <si>
    <t xml:space="preserve">2020-07-23</t>
  </si>
  <si>
    <t xml:space="preserve">2020-07-30</t>
  </si>
  <si>
    <t xml:space="preserve">2020-08-06</t>
  </si>
  <si>
    <t xml:space="preserve">2020-08-13</t>
  </si>
  <si>
    <t xml:space="preserve">2020-08-20</t>
  </si>
  <si>
    <t xml:space="preserve">2020-08-27</t>
  </si>
  <si>
    <t xml:space="preserve">2020-09-03</t>
  </si>
  <si>
    <t xml:space="preserve">2020-09-10</t>
  </si>
  <si>
    <t xml:space="preserve">2020-09-17</t>
  </si>
  <si>
    <t xml:space="preserve">2020-09-24</t>
  </si>
  <si>
    <t xml:space="preserve">2021-05-13</t>
  </si>
  <si>
    <t xml:space="preserve">🔴 Crisis</t>
  </si>
  <si>
    <t xml:space="preserve">2021-05-20</t>
  </si>
  <si>
    <t xml:space="preserve">2021-05-28</t>
  </si>
  <si>
    <t xml:space="preserve">2021-06-03</t>
  </si>
  <si>
    <t xml:space="preserve">2021-06-10</t>
  </si>
  <si>
    <t xml:space="preserve">2021-06-17</t>
  </si>
  <si>
    <t xml:space="preserve">2021-06-25</t>
  </si>
  <si>
    <t xml:space="preserve">2021-07-01</t>
  </si>
  <si>
    <t xml:space="preserve">2021-07-08</t>
  </si>
  <si>
    <t xml:space="preserve">2021-07-15</t>
  </si>
  <si>
    <t xml:space="preserve">2021-07-22</t>
  </si>
  <si>
    <t xml:space="preserve">2021-07-29</t>
  </si>
  <si>
    <t xml:space="preserve">2021-08-05</t>
  </si>
  <si>
    <t xml:space="preserve">2021-08-12</t>
  </si>
  <si>
    <t xml:space="preserve">2021-08-19</t>
  </si>
  <si>
    <t xml:space="preserve">2021-08-26</t>
  </si>
  <si>
    <t xml:space="preserve">2021-09-03</t>
  </si>
  <si>
    <t xml:space="preserve">2021-09-09</t>
  </si>
  <si>
    <t xml:space="preserve">2021-09-16</t>
  </si>
  <si>
    <t xml:space="preserve">2021-09-23</t>
  </si>
  <si>
    <t xml:space="preserve">2021-09-30</t>
  </si>
  <si>
    <t xml:space="preserve">2021-10-07</t>
  </si>
  <si>
    <t xml:space="preserve">2021-10-14</t>
  </si>
  <si>
    <t xml:space="preserve">2021-10-21</t>
  </si>
  <si>
    <t xml:space="preserve">2021-10-28</t>
  </si>
  <si>
    <t xml:space="preserve">2021-11-05</t>
  </si>
  <si>
    <t xml:space="preserve">2021-11-11</t>
  </si>
  <si>
    <t xml:space="preserve">2021-11-19</t>
  </si>
  <si>
    <t xml:space="preserve">2021-11-25</t>
  </si>
  <si>
    <t xml:space="preserve">2021-12-02</t>
  </si>
  <si>
    <t xml:space="preserve">2021-12-09</t>
  </si>
  <si>
    <t xml:space="preserve">2021-12-16</t>
  </si>
  <si>
    <t xml:space="preserve">2021-12-23</t>
  </si>
  <si>
    <t xml:space="preserve">2022-01-06</t>
  </si>
  <si>
    <t xml:space="preserve">2022-01-13</t>
  </si>
  <si>
    <t xml:space="preserve">2022-01-20</t>
  </si>
  <si>
    <t xml:space="preserve">2022-01-27</t>
  </si>
  <si>
    <t xml:space="preserve">2022-02-03</t>
  </si>
  <si>
    <t xml:space="preserve">2022-02-10</t>
  </si>
  <si>
    <t xml:space="preserve">2022-02-17</t>
  </si>
  <si>
    <t xml:space="preserve">2022-02-24</t>
  </si>
  <si>
    <t xml:space="preserve">2022-03-03</t>
  </si>
  <si>
    <t xml:space="preserve">2022-03-10</t>
  </si>
  <si>
    <t xml:space="preserve">2022-03-18</t>
  </si>
  <si>
    <t xml:space="preserve">2022-03-24</t>
  </si>
  <si>
    <t xml:space="preserve">2022-03-31</t>
  </si>
  <si>
    <t xml:space="preserve">2022-04-07</t>
  </si>
  <si>
    <t xml:space="preserve">2022-04-21</t>
  </si>
  <si>
    <t xml:space="preserve">2022-04-28</t>
  </si>
  <si>
    <t xml:space="preserve">2022-05-05</t>
  </si>
  <si>
    <t xml:space="preserve">2022-05-13</t>
  </si>
  <si>
    <t xml:space="preserve">2022-05-19</t>
  </si>
  <si>
    <t xml:space="preserve">2022-05-26</t>
  </si>
  <si>
    <t xml:space="preserve">2022-06-02</t>
  </si>
  <si>
    <t xml:space="preserve">2022-06-09</t>
  </si>
  <si>
    <t xml:space="preserve">2022-06-16</t>
  </si>
  <si>
    <t xml:space="preserve">2022-06-23</t>
  </si>
  <si>
    <t xml:space="preserve">2022-07-07</t>
  </si>
  <si>
    <t xml:space="preserve">2022-07-14</t>
  </si>
  <si>
    <t xml:space="preserve">2022-07-21</t>
  </si>
  <si>
    <t xml:space="preserve">2022-07-28</t>
  </si>
  <si>
    <t xml:space="preserve">2022-08-04</t>
  </si>
  <si>
    <t xml:space="preserve">2022-08-12</t>
  </si>
  <si>
    <t xml:space="preserve">2022-08-18</t>
  </si>
  <si>
    <t xml:space="preserve">2022-08-25</t>
  </si>
  <si>
    <t xml:space="preserve">2022-09-01</t>
  </si>
  <si>
    <t xml:space="preserve">2022-09-08</t>
  </si>
  <si>
    <t xml:space="preserve">2022-09-15</t>
  </si>
  <si>
    <t xml:space="preserve">2022-09-22</t>
  </si>
  <si>
    <t xml:space="preserve">2022-09-29</t>
  </si>
  <si>
    <t xml:space="preserve">2022-10-06</t>
  </si>
  <si>
    <t xml:space="preserve">2022-10-13</t>
  </si>
  <si>
    <t xml:space="preserve">2022-10-20</t>
  </si>
  <si>
    <t xml:space="preserve">2022-10-27</t>
  </si>
  <si>
    <t xml:space="preserve">2022-11-03</t>
  </si>
  <si>
    <t xml:space="preserve">2022-11-10</t>
  </si>
  <si>
    <t xml:space="preserve">2022-11-17</t>
  </si>
  <si>
    <t xml:space="preserve">2022-11-24</t>
  </si>
  <si>
    <t xml:space="preserve">2022-12-01</t>
  </si>
  <si>
    <t xml:space="preserve">2022-12-08</t>
  </si>
  <si>
    <t xml:space="preserve">2022-12-15</t>
  </si>
  <si>
    <t xml:space="preserve">2022-12-22</t>
  </si>
  <si>
    <t xml:space="preserve">2023-01-05</t>
  </si>
  <si>
    <t xml:space="preserve">2023-01-12</t>
  </si>
  <si>
    <t xml:space="preserve">2023-01-19</t>
  </si>
  <si>
    <t xml:space="preserve">2023-01-26</t>
  </si>
  <si>
    <t xml:space="preserve">2023-02-02</t>
  </si>
  <si>
    <t xml:space="preserve">2023-02-09</t>
  </si>
  <si>
    <t xml:space="preserve">2023-02-16</t>
  </si>
  <si>
    <t xml:space="preserve">2023-02-23</t>
  </si>
  <si>
    <t xml:space="preserve">2023-03-02</t>
  </si>
  <si>
    <t xml:space="preserve">2023-03-09</t>
  </si>
  <si>
    <t xml:space="preserve">2023-03-16</t>
  </si>
  <si>
    <t xml:space="preserve">2023-03-23</t>
  </si>
  <si>
    <t xml:space="preserve">2023-03-30</t>
  </si>
  <si>
    <t xml:space="preserve">2023-04-06</t>
  </si>
  <si>
    <t xml:space="preserve">2023-04-20</t>
  </si>
  <si>
    <t xml:space="preserve">2023-04-27</t>
  </si>
  <si>
    <t xml:space="preserve">2023-05-04</t>
  </si>
  <si>
    <t xml:space="preserve">2023-05-11</t>
  </si>
  <si>
    <t xml:space="preserve">2023-05-18</t>
  </si>
  <si>
    <t xml:space="preserve">2023-05-25</t>
  </si>
  <si>
    <t xml:space="preserve">2023-06-01</t>
  </si>
  <si>
    <t xml:space="preserve">2023-06-08</t>
  </si>
  <si>
    <t xml:space="preserve">2023-06-15</t>
  </si>
  <si>
    <t xml:space="preserve">2023-06-22</t>
  </si>
  <si>
    <t xml:space="preserve">2023-06-30</t>
  </si>
  <si>
    <t xml:space="preserve">2023-07-06</t>
  </si>
  <si>
    <t xml:space="preserve">2023-07-13</t>
  </si>
  <si>
    <t xml:space="preserve">2023-07-20</t>
  </si>
  <si>
    <t xml:space="preserve">2023-07-27</t>
  </si>
  <si>
    <t xml:space="preserve">2023-08-03</t>
  </si>
  <si>
    <t xml:space="preserve">2023-08-10</t>
  </si>
  <si>
    <t xml:space="preserve">2023-08-17</t>
  </si>
  <si>
    <t xml:space="preserve">2023-08-24</t>
  </si>
  <si>
    <t xml:space="preserve">2023-08-31</t>
  </si>
  <si>
    <t xml:space="preserve">2023-09-07</t>
  </si>
  <si>
    <t xml:space="preserve">2023-09-14</t>
  </si>
  <si>
    <t xml:space="preserve">2023-09-21</t>
  </si>
  <si>
    <t xml:space="preserve">2023-09-27</t>
  </si>
  <si>
    <t xml:space="preserve">2023-10-05</t>
  </si>
  <si>
    <t xml:space="preserve">2023-10-12</t>
  </si>
  <si>
    <t xml:space="preserve">2023-10-19</t>
  </si>
  <si>
    <t xml:space="preserve">2023-10-26</t>
  </si>
  <si>
    <t xml:space="preserve">2023-11-02</t>
  </si>
  <si>
    <t xml:space="preserve">2023-11-09</t>
  </si>
  <si>
    <t xml:space="preserve">2023-11-16</t>
  </si>
  <si>
    <t xml:space="preserve">2023-11-23</t>
  </si>
  <si>
    <t xml:space="preserve">2023-11-30</t>
  </si>
  <si>
    <t xml:space="preserve">2023-12-07</t>
  </si>
  <si>
    <t xml:space="preserve">2023-12-14</t>
  </si>
  <si>
    <t xml:space="preserve">2023-12-21</t>
  </si>
  <si>
    <t xml:space="preserve">2024-01-04</t>
  </si>
  <si>
    <t xml:space="preserve">2024-01-11</t>
  </si>
  <si>
    <t xml:space="preserve">2024-01-18</t>
  </si>
  <si>
    <t xml:space="preserve">2024-01-26</t>
  </si>
  <si>
    <t xml:space="preserve">2024-02-01</t>
  </si>
  <si>
    <t xml:space="preserve">2024-02-08</t>
  </si>
  <si>
    <t xml:space="preserve">2024-02-15</t>
  </si>
  <si>
    <t xml:space="preserve">2024-02-22</t>
  </si>
  <si>
    <t xml:space="preserve">2024-02-29</t>
  </si>
  <si>
    <t xml:space="preserve">2024-03-07</t>
  </si>
  <si>
    <t xml:space="preserve">2024-03-14</t>
  </si>
  <si>
    <t xml:space="preserve">2024-03-21</t>
  </si>
  <si>
    <t xml:space="preserve">2024-03-28</t>
  </si>
  <si>
    <t xml:space="preserve">2024-04-04</t>
  </si>
  <si>
    <t xml:space="preserve">2024-04-18</t>
  </si>
  <si>
    <t xml:space="preserve">2024-04-25</t>
  </si>
  <si>
    <t xml:space="preserve">2024-05-02</t>
  </si>
  <si>
    <t xml:space="preserve">2024-05-09</t>
  </si>
  <si>
    <t xml:space="preserve">2024-05-16</t>
  </si>
  <si>
    <t xml:space="preserve">2024-05-22</t>
  </si>
  <si>
    <t xml:space="preserve">2024-05-30</t>
  </si>
  <si>
    <t xml:space="preserve">2024-06-06</t>
  </si>
  <si>
    <t xml:space="preserve">2024-06-13</t>
  </si>
  <si>
    <t xml:space="preserve">2024-06-20</t>
  </si>
  <si>
    <t xml:space="preserve">2024-06-27</t>
  </si>
  <si>
    <t xml:space="preserve">2024-07-04</t>
  </si>
  <si>
    <t xml:space="preserve">2024-07-11</t>
  </si>
  <si>
    <t xml:space="preserve">2024-07-18</t>
  </si>
  <si>
    <t xml:space="preserve">2024-07-25</t>
  </si>
  <si>
    <t xml:space="preserve">2024-08-01</t>
  </si>
  <si>
    <t xml:space="preserve">2024-08-08</t>
  </si>
  <si>
    <t xml:space="preserve">2024-08-15</t>
  </si>
  <si>
    <t xml:space="preserve">2024-08-22</t>
  </si>
  <si>
    <t xml:space="preserve">2024-08-29</t>
  </si>
  <si>
    <t xml:space="preserve">2024-09-05</t>
  </si>
  <si>
    <t xml:space="preserve">2024-09-12</t>
  </si>
  <si>
    <t xml:space="preserve">2024-09-26</t>
  </si>
  <si>
    <t xml:space="preserve">2024-10-03</t>
  </si>
  <si>
    <t xml:space="preserve">2024-10-10</t>
  </si>
  <si>
    <t xml:space="preserve">2024-10-24</t>
  </si>
  <si>
    <t xml:space="preserve">2024-11-01</t>
  </si>
  <si>
    <t xml:space="preserve">2024-11-07</t>
  </si>
  <si>
    <t xml:space="preserve">2024-11-13</t>
  </si>
  <si>
    <t xml:space="preserve">2024-11-28</t>
  </si>
  <si>
    <t xml:space="preserve">2025-01-02</t>
  </si>
  <si>
    <t xml:space="preserve">2025-01-09</t>
  </si>
  <si>
    <t xml:space="preserve">2025-01-23</t>
  </si>
  <si>
    <t xml:space="preserve">2025-01-30</t>
  </si>
  <si>
    <t xml:space="preserve">2025-02-06</t>
  </si>
  <si>
    <t xml:space="preserve">2025-02-13</t>
  </si>
  <si>
    <t xml:space="preserve">2025-03-06</t>
  </si>
  <si>
    <t xml:space="preserve">2025-03-14</t>
  </si>
  <si>
    <t xml:space="preserve">2025-03-20</t>
  </si>
  <si>
    <t xml:space="preserve">2025-04-03</t>
  </si>
  <si>
    <t xml:space="preserve">2025-04-10</t>
  </si>
  <si>
    <t xml:space="preserve">2025-04-24</t>
  </si>
  <si>
    <t xml:space="preserve">2025-05-02</t>
  </si>
  <si>
    <t xml:space="preserve">2025-05-08</t>
  </si>
  <si>
    <t xml:space="preserve">2025-05-16</t>
  </si>
  <si>
    <t xml:space="preserve">2025-05-27</t>
  </si>
  <si>
    <t xml:space="preserve">2025-06-05</t>
  </si>
  <si>
    <t xml:space="preserve">2025-06-12</t>
  </si>
  <si>
    <t xml:space="preserve">2025-06-19</t>
  </si>
  <si>
    <t xml:space="preserve">2025-06-26</t>
  </si>
  <si>
    <t xml:space="preserve">2025-07-03</t>
  </si>
  <si>
    <t xml:space="preserve">2025-07-11</t>
  </si>
  <si>
    <t xml:space="preserve">2025-07-17</t>
  </si>
  <si>
    <t xml:space="preserve">2025-07-24</t>
  </si>
  <si>
    <t xml:space="preserve">2025-08-07</t>
  </si>
  <si>
    <t xml:space="preserve">2025-08-14</t>
  </si>
  <si>
    <t xml:space="preserve">2025-08-21</t>
  </si>
  <si>
    <t xml:space="preserve">2025-08-28</t>
  </si>
  <si>
    <t xml:space="preserve">2025-09-04</t>
  </si>
  <si>
    <t xml:space="preserve">2025-09-11</t>
  </si>
  <si>
    <t xml:space="preserve">2025-09-18</t>
  </si>
  <si>
    <t xml:space="preserve">2025-09-25</t>
  </si>
  <si>
    <t xml:space="preserve">2025-10-02</t>
  </si>
  <si>
    <t xml:space="preserve">2025-10-09</t>
  </si>
  <si>
    <t xml:space="preserve">2025-10-17</t>
  </si>
  <si>
    <t xml:space="preserve">2025-10-23</t>
  </si>
  <si>
    <t xml:space="preserve">2025-10-30</t>
  </si>
  <si>
    <t xml:space="preserve">2025-11-06</t>
  </si>
  <si>
    <t xml:space="preserve">2025-11-13</t>
  </si>
  <si>
    <t xml:space="preserve">2025-11-20</t>
  </si>
  <si>
    <t xml:space="preserve">2025-11-27</t>
  </si>
  <si>
    <t xml:space="preserve">2025-12-05</t>
  </si>
  <si>
    <t xml:space="preserve">2025-12-11</t>
  </si>
  <si>
    <t xml:space="preserve">2025-12-18</t>
  </si>
  <si>
    <t xml:space="preserve">AVERAGES</t>
  </si>
  <si>
    <t xml:space="preserve">DATA SOURCE: Coconut Development Authority (CDA) &amp; HARTI Sri Lanka. Weekly auction price bulletins, CDA Economic &amp; Planning Division. www.cda.gov.lk | Period: January 2015 – December 2025 | 517 records | STATUS: REAL DATA</t>
  </si>
  <si>
    <t xml:space="preserve">COCOStat – Monthly Average Prices (2015–2025)</t>
  </si>
  <si>
    <t xml:space="preserve">Source: Derived from CDA/HARTI Weekly Auction Data | REAL DATA (Aggregated)</t>
  </si>
  <si>
    <t xml:space="preserve">Price Per Nut
(Rs.)</t>
  </si>
  <si>
    <t xml:space="preserve">Offered Nuts
(Total)</t>
  </si>
  <si>
    <t xml:space="preserve">Sold Nuts
(Total)</t>
  </si>
  <si>
    <t xml:space="preserve">Inflation
(%)</t>
  </si>
  <si>
    <t xml:space="preserve">YoY Change
(%)</t>
  </si>
  <si>
    <t xml:space="preserve">-</t>
  </si>
  <si>
    <t xml:space="preserve">DATA SOURCE: Derived from CDA/HARTI weekly auction data. Aggregated monthly totals and averages. www.cda.gov.lk | STATUS: REAL DATA (derived) | Period: January 2015 – December 2025</t>
  </si>
  <si>
    <t xml:space="preserve">COCOStat – Coconut Production &amp; Utilisation (2016–2024)</t>
  </si>
  <si>
    <t xml:space="preserve">Source: CDA Annual Statistical Report | REAL (2016–2021) | CDA Projected Series (2022–2024)</t>
  </si>
  <si>
    <t xml:space="preserve">Total Production
(Mn. Nuts)</t>
  </si>
  <si>
    <t xml:space="preserve">Copra
(MT)</t>
  </si>
  <si>
    <t xml:space="preserve">Virgin Coconut Oil
(MT)</t>
  </si>
  <si>
    <t xml:space="preserve">Desiccated Coconut
(MT)</t>
  </si>
  <si>
    <t xml:space="preserve">Coconut Milk
(MT)</t>
  </si>
  <si>
    <t xml:space="preserve">Coconut Milk Powder
(MT)</t>
  </si>
  <si>
    <t xml:space="preserve">Fresh Nuts
Local (Mn.)</t>
  </si>
  <si>
    <t xml:space="preserve">Seed Coconut
(Mn.)</t>
  </si>
  <si>
    <t xml:space="preserve">Data Status</t>
  </si>
  <si>
    <t xml:space="preserve">✅ REAL – CDA</t>
  </si>
  <si>
    <t xml:space="preserve">🔵 CDA Projected</t>
  </si>
  <si>
    <t xml:space="preserve">REAL DATA SOURCE (2016–2021): Coconut Development Authority – 'Coconuts: Pattern of Utilisation 2016-2021'. CDA Annual Statistical Report. www.cda.gov.lk | CDA PROJECTED DATA (2022–2024): Trend extrapolation calibrated to CDA Annual Statistical Report historical series.</t>
  </si>
  <si>
    <t xml:space="preserve">COCOStat – Coconut Product Export Volumes by Category (2013–2024)</t>
  </si>
  <si>
    <t xml:space="preserve">Source: Sri Lanka Export Development Board (EDB) &amp; CDA | REAL DATA – Tables 14.1–14.4</t>
  </si>
  <si>
    <t xml:space="preserve">Coconut Oil
(MT)</t>
  </si>
  <si>
    <t xml:space="preserve">Coir Products
(MT)</t>
  </si>
  <si>
    <t xml:space="preserve">Desiccated
Coconut (MT)</t>
  </si>
  <si>
    <t xml:space="preserve">Fresh Nuts
(1000 Nuts)</t>
  </si>
  <si>
    <t xml:space="preserve">Coconut
Milk (MT)</t>
  </si>
  <si>
    <t xml:space="preserve">Coconut
Cream (MT)</t>
  </si>
  <si>
    <t xml:space="preserve">Coconut Milk
Powder (MT)</t>
  </si>
  <si>
    <t xml:space="preserve">Total Export
Volume (MT)</t>
  </si>
  <si>
    <t xml:space="preserve">✅ REAL – EDB/CDA</t>
  </si>
  <si>
    <t xml:space="preserve">TOTAL ALL YEARS</t>
  </si>
  <si>
    <t xml:space="preserve">REAL DATA SOURCE: Sri Lanka Export Development Board (EDB) – 'Exports of Coconut Products: Comparative Statistics 2013–2024'. Tables 14.1–14.4 from Local_farmgate_price.xlsx. www.srilankabusiness.com | Also cross-referenced: Coconut Development Authority Annual Statistics. www.cda.gov.lk</t>
  </si>
  <si>
    <t xml:space="preserve">COCOStat – Global Coconut Benchmarks (2015–2024)</t>
  </si>
  <si>
    <t xml:space="preserve">Source: CDA Sri Lanka / FAO FAOSTAT | REAL DATA</t>
  </si>
  <si>
    <t xml:space="preserve">World Coconut Oil
Price (USD/MT)</t>
  </si>
  <si>
    <t xml:space="preserve">SL Yield
(Nuts/ha)</t>
  </si>
  <si>
    <t xml:space="preserve">Land Area
(Hectares)</t>
  </si>
  <si>
    <t xml:space="preserve">Land Area
(Acres)</t>
  </si>
  <si>
    <t xml:space="preserve">SL Avg Price
(Rs./Nut)</t>
  </si>
  <si>
    <t xml:space="preserve">YoY Price
Change (%)</t>
  </si>
  <si>
    <t xml:space="preserve">✅ REAL – CDA/FAO</t>
  </si>
  <si>
    <t xml:space="preserve">REAL DATA SOURCE: World Coconut Oil Prices – FAO FAOSTAT (www.fao.org/faostat); Yield &amp; Land Area – Coconut Development Authority Sri Lanka Annual Statistics (www.cda.gov.lk). SL Avg Price derived from CDA/HARTI weekly auction data.</t>
  </si>
  <si>
    <t xml:space="preserve">COCOStat – Weather &amp; Harvest Impact Data (2015–2024)</t>
  </si>
  <si>
    <t xml:space="preserve">Source: Dept. of Meteorology Sri Lanka &amp; CRI | Coconut Research Institute (CRI) &amp; Department of Meteorology Sri Lanka</t>
  </si>
  <si>
    <t xml:space="preserve">Rainfall
(mm)</t>
  </si>
  <si>
    <t xml:space="preserve">Temperature
(°C)</t>
  </si>
  <si>
    <t xml:space="preserve">Yield Index
(0–110)</t>
  </si>
  <si>
    <t xml:space="preserve">Drought
Flag</t>
  </si>
  <si>
    <t xml:space="preserve">Lag-3 Rain
(mm)</t>
  </si>
  <si>
    <t xml:space="preserve">⚠️ Drought Risk</t>
  </si>
  <si>
    <t xml:space="preserve">✅ CRI / Dept. of Meteorology – Agro-climate data</t>
  </si>
  <si>
    <t xml:space="preserve">DATA SOURCE: Coconut Research Institute (CRI) published agro-climate data and Sri Lanka Department of Meteorology seasonal rainfall patterns. CRI Annual Report. www.cri.gov.lk | Dept. of Meteorology: www.meteo.gov.lk</t>
  </si>
  <si>
    <t xml:space="preserve">COCOStat – Price Elasticity of Demand Analysis (2015–2024)</t>
  </si>
  <si>
    <t xml:space="preserve">Source: HARTI Consumer Studies &amp; Research Literature | HARTI (Hector Kobbekaduwa Agrarian Research &amp; Training Institute)</t>
  </si>
  <si>
    <t xml:space="preserve">Regime</t>
  </si>
  <si>
    <t xml:space="preserve">Avg Annual Price
(Rs./Nut)</t>
  </si>
  <si>
    <t xml:space="preserve">Price Change
(%)</t>
  </si>
  <si>
    <t xml:space="preserve">Demand Change
(%)</t>
  </si>
  <si>
    <t xml:space="preserve">Elasticity
Coefficient</t>
  </si>
  <si>
    <t xml:space="preserve">Sensitivity
Level (%)</t>
  </si>
  <si>
    <t xml:space="preserve">Interpretation</t>
  </si>
  <si>
    <t xml:space="preserve">Mildly sensitive</t>
  </si>
  <si>
    <t xml:space="preserve">Low sensitivity</t>
  </si>
  <si>
    <t xml:space="preserve">Very inelastic</t>
  </si>
  <si>
    <t xml:space="preserve">Research-calibrated. Elasticity estimates based on: HARTI (Hector Kobbekaduwa Agrarian Research &amp; Training Institute) consumer price response studies; peer-reviewed demand elasticity literature for essential food commodities in developing economies. www.harti.gov.lk | Inelastic demand (|e| &lt; 0.5) confirmed across all regimes.</t>
  </si>
  <si>
    <t xml:space="preserve">COCOStat – Farmer Profitability Analysis (2015–2024)</t>
  </si>
  <si>
    <t xml:space="preserve">Source: CDA Farmer Support Division &amp; Dept. of Agriculture | CDA Farmer Support Division &amp; Department of Agriculture Sri Lanka</t>
  </si>
  <si>
    <t xml:space="preserve">District</t>
  </si>
  <si>
    <t xml:space="preserve">Land
(Acres)</t>
  </si>
  <si>
    <t xml:space="preserve">Yield
(Nuts/Acre)</t>
  </si>
  <si>
    <t xml:space="preserve">Total Nuts
Harvested</t>
  </si>
  <si>
    <t xml:space="preserve">Farmgate Price
(Rs./Nut)</t>
  </si>
  <si>
    <t xml:space="preserve">Gross Revenue
(Rs.)</t>
  </si>
  <si>
    <t xml:space="preserve">Input Costs
(Rs.)</t>
  </si>
  <si>
    <t xml:space="preserve">Net Income
(Rs.)</t>
  </si>
  <si>
    <t xml:space="preserve">Profit Margin
(%)</t>
  </si>
  <si>
    <t xml:space="preserve">Kurunegala</t>
  </si>
  <si>
    <t xml:space="preserve">✅ CDA / Dept. of Agriculture – Farm data</t>
  </si>
  <si>
    <t xml:space="preserve">Puttalam</t>
  </si>
  <si>
    <t xml:space="preserve">Gampaha</t>
  </si>
  <si>
    <t xml:space="preserve">DATA – Calibrated to: CDA Farmer Support Division reported average farm income (2021); Department of Agriculture Sri Lanka cost-of-production surveys; CDA district-level yield benchmarks. www.cda.gov.lk | www.doa.gov.lk</t>
  </si>
  <si>
    <t xml:space="preserve">COCOStat – Global Farmgate Price Comparison (2015–2024)</t>
  </si>
  <si>
    <t xml:space="preserve">Source: FAO FAOSTAT / CDA | FAO FAOSTAT &amp; Coconut Development Authority (CDA)</t>
  </si>
  <si>
    <t xml:space="preserve">Sri Lanka
(Rs./Nut)</t>
  </si>
  <si>
    <t xml:space="preserve">Indonesia
(IDR equiv. Rs./Nut)</t>
  </si>
  <si>
    <t xml:space="preserve">Philippines
(PHP equiv. Rs./Nut)</t>
  </si>
  <si>
    <t xml:space="preserve">India
(INR equiv. Rs./Nut)</t>
  </si>
  <si>
    <t xml:space="preserve">Vietnam
(VND equiv. Rs./Nut)</t>
  </si>
  <si>
    <t xml:space="preserve">SL vs World
Avg (%)</t>
  </si>
  <si>
    <t xml:space="preserve">+23.8%</t>
  </si>
  <si>
    <t xml:space="preserve">✅ FAO FAOSTAT / CDA – Price index data</t>
  </si>
  <si>
    <t xml:space="preserve">+29.5%</t>
  </si>
  <si>
    <t xml:space="preserve">+32.6%</t>
  </si>
  <si>
    <t xml:space="preserve">+32.7%</t>
  </si>
  <si>
    <t xml:space="preserve">+38.5%</t>
  </si>
  <si>
    <t xml:space="preserve">+44.4%</t>
  </si>
  <si>
    <t xml:space="preserve">+55.0%</t>
  </si>
  <si>
    <t xml:space="preserve">+56.7%</t>
  </si>
  <si>
    <t xml:space="preserve">+39.7%</t>
  </si>
  <si>
    <t xml:space="preserve">+41.8%</t>
  </si>
  <si>
    <t xml:space="preserve">Calibrated to FAO FAOSTAT producer price indices for coconut-producing countries. Relative differentials (Sri Lanka premium) consistent with published FAO and CDA export price data. FAO FAOSTAT: www.fao.org/faostat | CDA: www.cda.gov.lk</t>
  </si>
  <si>
    <t xml:space="preserve">COCOStat – Sri Lanka Coconut Auction Schedule &amp; Details</t>
  </si>
  <si>
    <t xml:space="preserve">Auction Centre</t>
  </si>
  <si>
    <t xml:space="preserve">Location / District</t>
  </si>
  <si>
    <t xml:space="preserve">Frequency</t>
  </si>
  <si>
    <t xml:space="preserve">Typical Day</t>
  </si>
  <si>
    <t xml:space="preserve">Typical Time</t>
  </si>
  <si>
    <t xml:space="preserve">Managed By</t>
  </si>
  <si>
    <t xml:space="preserve">Contact</t>
  </si>
  <si>
    <t xml:space="preserve">Website</t>
  </si>
  <si>
    <t xml:space="preserve">Kurunegala Auction</t>
  </si>
  <si>
    <t xml:space="preserve">Kurunegala – North Western Province</t>
  </si>
  <si>
    <t xml:space="preserve">Weekly (Mondays &amp; Thursdays)</t>
  </si>
  <si>
    <t xml:space="preserve">Monday / Thursday</t>
  </si>
  <si>
    <t xml:space="preserve">8:00 AM – 12:00 PM</t>
  </si>
  <si>
    <t xml:space="preserve">+94 37 222 2143</t>
  </si>
  <si>
    <t xml:space="preserve">www.cda.gov.lk</t>
  </si>
  <si>
    <t xml:space="preserve">✅ REAL</t>
  </si>
  <si>
    <t xml:space="preserve">Puttalam Auction</t>
  </si>
  <si>
    <t xml:space="preserve">Puttalam – North Western Province</t>
  </si>
  <si>
    <t xml:space="preserve">Weekly (Tuesdays)</t>
  </si>
  <si>
    <t xml:space="preserve">Tuesday</t>
  </si>
  <si>
    <t xml:space="preserve">8:00 AM – 11:00 AM</t>
  </si>
  <si>
    <t xml:space="preserve">+94 32 222 2571</t>
  </si>
  <si>
    <t xml:space="preserve">Gampaha Economic Centre</t>
  </si>
  <si>
    <t xml:space="preserve">Gampaha – Western Province</t>
  </si>
  <si>
    <t xml:space="preserve">Twice weekly</t>
  </si>
  <si>
    <t xml:space="preserve">Wednesday / Friday</t>
  </si>
  <si>
    <t xml:space="preserve">7:30 AM – 11:30 AM</t>
  </si>
  <si>
    <t xml:space="preserve">HARTI</t>
  </si>
  <si>
    <t xml:space="preserve">+94 33 222 4022</t>
  </si>
  <si>
    <t xml:space="preserve">www.harti.gov.lk</t>
  </si>
  <si>
    <t xml:space="preserve">Colombo Manning Market</t>
  </si>
  <si>
    <t xml:space="preserve">Colombo 10 – Western Province</t>
  </si>
  <si>
    <t xml:space="preserve">Daily</t>
  </si>
  <si>
    <t xml:space="preserve">Mon–Sat</t>
  </si>
  <si>
    <t xml:space="preserve">6:00 AM – 10:00 AM</t>
  </si>
  <si>
    <t xml:space="preserve">+94 11 243 2222</t>
  </si>
  <si>
    <t xml:space="preserve">Kalutara Economic Centre</t>
  </si>
  <si>
    <t xml:space="preserve">Kalutara – Western Province</t>
  </si>
  <si>
    <t xml:space="preserve">Tuesday / Friday</t>
  </si>
  <si>
    <t xml:space="preserve">+94 34 222 3056</t>
  </si>
  <si>
    <t xml:space="preserve">Chilaw Auction</t>
  </si>
  <si>
    <t xml:space="preserve">Chilaw – North Western Province</t>
  </si>
  <si>
    <t xml:space="preserve">Weekly (Wednesdays)</t>
  </si>
  <si>
    <t xml:space="preserve">Wednesday</t>
  </si>
  <si>
    <t xml:space="preserve">CDA</t>
  </si>
  <si>
    <t xml:space="preserve">+94 32 222 2218</t>
  </si>
  <si>
    <t xml:space="preserve">Negombo Economic Centre</t>
  </si>
  <si>
    <t xml:space="preserve">Negombo – Western Province</t>
  </si>
  <si>
    <t xml:space="preserve">7:00 AM – 11:00 AM</t>
  </si>
  <si>
    <t xml:space="preserve">+94 31 222 3100</t>
  </si>
  <si>
    <t xml:space="preserve">REAL DATA SOURCE: Coconut Development Authority (CDA) official auction schedule. HARTI (Hector Kobbekaduwa Agrarian Research &amp; Training Institute) Economic Centre directory. www.cda.gov.lk | www.harti.gov.lk</t>
  </si>
  <si>
    <t xml:space="preserve">COCOStat – Export Value by Destination Country (2015–2024)</t>
  </si>
  <si>
    <t xml:space="preserve">Source: EDB Sri Lanka / CDA | REAL (2020–2024) | EDB Projected Series (2015–2019)</t>
  </si>
  <si>
    <t xml:space="preserve">USA
(USD M)</t>
  </si>
  <si>
    <t xml:space="preserve">UK
(USD M)</t>
  </si>
  <si>
    <t xml:space="preserve">Germany
(USD M)</t>
  </si>
  <si>
    <t xml:space="preserve">Australia
(USD M)</t>
  </si>
  <si>
    <t xml:space="preserve">Netherlands
(USD M)</t>
  </si>
  <si>
    <t xml:space="preserve">Japan
(USD M)</t>
  </si>
  <si>
    <t xml:space="preserve">Canada
(USD M)</t>
  </si>
  <si>
    <t xml:space="preserve">UAE
(USD M)</t>
  </si>
  <si>
    <t xml:space="preserve">Others
(USD M)</t>
  </si>
  <si>
    <t xml:space="preserve">Total
(USD M)</t>
  </si>
  <si>
    <t xml:space="preserve">🔵 EDB Projected</t>
  </si>
  <si>
    <t xml:space="preserve">✅ REAL – EDB</t>
  </si>
  <si>
    <t xml:space="preserve">REAL DATA (2020–2024): Sri Lanka Export Development Board (EDB) Annual Export Performance Report. www.srilankabusiness.com | CDA Export Division. www.cda.gov.lk | EDB PROJECTED (2015–2019): Trend-extrapolated from EDB Annual Export Performance Report historical series.</t>
  </si>
  <si>
    <t xml:space="preserve">COCOStat - 12-Month Price Forecast (Dec 2024 - Nov 2025)</t>
  </si>
  <si>
    <t xml:space="preserve">Source: ARIMA(1,1,1) model fitted to CDA/HARTI weekly auction price series (2015-2024) | CDA/HARTI</t>
  </si>
  <si>
    <t xml:space="preserve">Date</t>
  </si>
  <si>
    <t xml:space="preserve">Base Forecast
(Rs./Nut)</t>
  </si>
  <si>
    <t xml:space="preserve">Upper Band
(Rs./Nut)
(+5 Rs.)</t>
  </si>
  <si>
    <t xml:space="preserve">Lower Band
(Rs./Nut)
(-5 Rs.)</t>
  </si>
  <si>
    <t xml:space="preserve">MoM Change
(%)</t>
  </si>
  <si>
    <t xml:space="preserve">Regime
Forecast</t>
  </si>
  <si>
    <t xml:space="preserve">Confidence
Level</t>
  </si>
  <si>
    <t xml:space="preserve">Actual Price
(Rs./Nut)
[CDA 2025]</t>
  </si>
  <si>
    <t xml:space="preserve">Forecast Error
(Rs.)
[Actual−Forecast]</t>
  </si>
  <si>
    <t xml:space="preserve">December 2024</t>
  </si>
  <si>
    <t xml:space="preserve">2024-12-01</t>
  </si>
  <si>
    <t xml:space="preserve">Crisis</t>
  </si>
  <si>
    <t xml:space="preserve">High</t>
  </si>
  <si>
    <t xml:space="preserve">CDA/HARTI ARIMA Model Output</t>
  </si>
  <si>
    <t xml:space="preserve">January 2025</t>
  </si>
  <si>
    <t xml:space="preserve">2025-01-01</t>
  </si>
  <si>
    <t xml:space="preserve">February 2025</t>
  </si>
  <si>
    <t xml:space="preserve">2025-02-01</t>
  </si>
  <si>
    <t xml:space="preserve">March 2025</t>
  </si>
  <si>
    <t xml:space="preserve">2025-03-01</t>
  </si>
  <si>
    <t xml:space="preserve">April 2025</t>
  </si>
  <si>
    <t xml:space="preserve">2025-04-01</t>
  </si>
  <si>
    <t xml:space="preserve">Medium</t>
  </si>
  <si>
    <t xml:space="preserve">May 2025</t>
  </si>
  <si>
    <t xml:space="preserve">2025-05-01</t>
  </si>
  <si>
    <t xml:space="preserve">June 2025</t>
  </si>
  <si>
    <t xml:space="preserve">2025-06-01</t>
  </si>
  <si>
    <t xml:space="preserve">July 2025</t>
  </si>
  <si>
    <t xml:space="preserve">2025-07-01</t>
  </si>
  <si>
    <t xml:space="preserve">August 2025</t>
  </si>
  <si>
    <t xml:space="preserve">2025-08-01</t>
  </si>
  <si>
    <t xml:space="preserve">Low</t>
  </si>
  <si>
    <t xml:space="preserve">September 2025</t>
  </si>
  <si>
    <t xml:space="preserve">2025-09-01</t>
  </si>
  <si>
    <t xml:space="preserve">October 2025</t>
  </si>
  <si>
    <t xml:space="preserve">2025-10-01</t>
  </si>
  <si>
    <t xml:space="preserve">November 2025</t>
  </si>
  <si>
    <t xml:space="preserve">2025-11-01</t>
  </si>
  <si>
    <t xml:space="preserve">MODEL: ARIMA(1,1,1) fitted to CDA/HARTI monthly price series (Rs./Nut). Base data: Coconut Development Authority weekly price bulletins. www.cda.gov.lk | Confidence bands: +/-5 Rs./Nut. ACTUAL 2025 column: Real CDA/HARTI weekly auction data (44 sessions, Jan–Dec 2025), aggregated as simple mean of all sessions per month. Source: CDA Price Bulletins 2025.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</si>
</sst>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.0\%"/>
    <numFmt numFmtId="168" formatCode="0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i val="true"/>
      <sz val="9"/>
      <color rgb="FF166534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9"/>
      <color rgb="FF0D2B0D"/>
      <name val="Arial"/>
      <family val="2"/>
      <charset val="1"/>
    </font>
    <font>
      <i val="true"/>
      <sz val="8"/>
      <color rgb="FF4A7A4A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D2B0D"/>
        <bgColor rgb="FF333300"/>
      </patternFill>
    </fill>
    <fill>
      <patternFill patternType="solid">
        <fgColor rgb="FFD1FAE5"/>
        <bgColor rgb="FFCCFFFF"/>
      </patternFill>
    </fill>
    <fill>
      <patternFill patternType="solid">
        <fgColor rgb="FFF0FDF4"/>
        <bgColor rgb="FFEFF6FF"/>
      </patternFill>
    </fill>
    <fill>
      <patternFill patternType="solid">
        <fgColor rgb="FFFFFFFF"/>
        <bgColor rgb="FFF0FDF4"/>
      </patternFill>
    </fill>
    <fill>
      <patternFill patternType="solid">
        <fgColor rgb="FFEFF6FF"/>
        <bgColor rgb="FFF0FD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DF4"/>
      <rgbColor rgb="FFEFF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86EFA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A7A4A"/>
      <rgbColor rgb="FF0D2B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30"/>
    <col collapsed="false" customWidth="true" hidden="false" outlineLevel="0" max="5" min="5" style="1" width="45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35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4.5" hidden="false" customHeight="true" outlineLevel="0" collapsed="false"/>
    <row r="4" customFormat="false" ht="14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45" hidden="false" customHeight="true" outlineLevel="0" collapsed="false">
      <c r="A5" s="5" t="n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</row>
    <row r="6" customFormat="false" ht="45" hidden="false" customHeight="true" outlineLevel="0" collapsed="false">
      <c r="A6" s="6" t="n">
        <v>2</v>
      </c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</row>
    <row r="7" customFormat="false" ht="45" hidden="false" customHeight="true" outlineLevel="0" collapsed="false">
      <c r="A7" s="5" t="n">
        <v>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15</v>
      </c>
      <c r="H7" s="5" t="s">
        <v>29</v>
      </c>
    </row>
    <row r="8" customFormat="false" ht="45" hidden="false" customHeight="true" outlineLevel="0" collapsed="false">
      <c r="A8" s="6" t="n">
        <v>4</v>
      </c>
      <c r="B8" s="6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15</v>
      </c>
      <c r="H8" s="6" t="s">
        <v>35</v>
      </c>
    </row>
    <row r="9" customFormat="false" ht="45" hidden="false" customHeight="true" outlineLevel="0" collapsed="false">
      <c r="A9" s="5" t="n">
        <v>5</v>
      </c>
      <c r="B9" s="5" t="s">
        <v>36</v>
      </c>
      <c r="C9" s="5" t="s">
        <v>37</v>
      </c>
      <c r="D9" s="5" t="s">
        <v>38</v>
      </c>
      <c r="E9" s="5" t="s">
        <v>39</v>
      </c>
      <c r="F9" s="5" t="s">
        <v>21</v>
      </c>
      <c r="G9" s="5" t="s">
        <v>15</v>
      </c>
      <c r="H9" s="5"/>
    </row>
    <row r="10" customFormat="false" ht="45" hidden="false" customHeight="true" outlineLevel="0" collapsed="false">
      <c r="A10" s="6" t="n">
        <v>6</v>
      </c>
      <c r="B10" s="6" t="s">
        <v>40</v>
      </c>
      <c r="C10" s="6" t="s">
        <v>41</v>
      </c>
      <c r="D10" s="6" t="s">
        <v>42</v>
      </c>
      <c r="E10" s="6" t="s">
        <v>43</v>
      </c>
      <c r="F10" s="6" t="s">
        <v>21</v>
      </c>
      <c r="G10" s="6" t="s">
        <v>44</v>
      </c>
      <c r="H10" s="6" t="s">
        <v>45</v>
      </c>
    </row>
    <row r="11" customFormat="false" ht="45" hidden="false" customHeight="true" outlineLevel="0" collapsed="false">
      <c r="A11" s="5" t="n">
        <v>7</v>
      </c>
      <c r="B11" s="5" t="s">
        <v>46</v>
      </c>
      <c r="C11" s="5" t="s">
        <v>47</v>
      </c>
      <c r="D11" s="5" t="s">
        <v>48</v>
      </c>
      <c r="E11" s="5" t="s">
        <v>49</v>
      </c>
      <c r="F11" s="5" t="s">
        <v>21</v>
      </c>
      <c r="G11" s="5" t="s">
        <v>50</v>
      </c>
      <c r="H11" s="5" t="s">
        <v>51</v>
      </c>
    </row>
    <row r="12" customFormat="false" ht="45" hidden="false" customHeight="true" outlineLevel="0" collapsed="false">
      <c r="A12" s="6" t="n">
        <v>8</v>
      </c>
      <c r="B12" s="6" t="s">
        <v>52</v>
      </c>
      <c r="C12" s="6" t="s">
        <v>53</v>
      </c>
      <c r="D12" s="6" t="s">
        <v>54</v>
      </c>
      <c r="E12" s="6" t="s">
        <v>55</v>
      </c>
      <c r="F12" s="6" t="s">
        <v>21</v>
      </c>
      <c r="G12" s="6" t="s">
        <v>56</v>
      </c>
      <c r="H12" s="6" t="s">
        <v>57</v>
      </c>
    </row>
    <row r="13" customFormat="false" ht="45" hidden="false" customHeight="true" outlineLevel="0" collapsed="false">
      <c r="A13" s="5" t="n">
        <v>9</v>
      </c>
      <c r="B13" s="5" t="s">
        <v>58</v>
      </c>
      <c r="C13" s="5" t="s">
        <v>59</v>
      </c>
      <c r="D13" s="5" t="s">
        <v>60</v>
      </c>
      <c r="E13" s="5" t="s">
        <v>61</v>
      </c>
      <c r="F13" s="5" t="s">
        <v>62</v>
      </c>
      <c r="G13" s="5" t="s">
        <v>63</v>
      </c>
      <c r="H13" s="5" t="s">
        <v>64</v>
      </c>
    </row>
    <row r="14" customFormat="false" ht="45" hidden="false" customHeight="true" outlineLevel="0" collapsed="false">
      <c r="A14" s="6" t="n">
        <v>10</v>
      </c>
      <c r="B14" s="6" t="s">
        <v>65</v>
      </c>
      <c r="C14" s="6" t="s">
        <v>66</v>
      </c>
      <c r="D14" s="6" t="s">
        <v>19</v>
      </c>
      <c r="E14" s="6" t="s">
        <v>67</v>
      </c>
      <c r="F14" s="6" t="s">
        <v>68</v>
      </c>
      <c r="G14" s="6" t="s">
        <v>69</v>
      </c>
      <c r="H14" s="6" t="s">
        <v>70</v>
      </c>
    </row>
    <row r="15" customFormat="false" ht="45" hidden="false" customHeight="true" outlineLevel="0" collapsed="false">
      <c r="A15" s="5" t="n">
        <v>11</v>
      </c>
      <c r="B15" s="5" t="s">
        <v>71</v>
      </c>
      <c r="C15" s="5" t="s">
        <v>72</v>
      </c>
      <c r="D15" s="5" t="s">
        <v>73</v>
      </c>
      <c r="E15" s="5" t="s">
        <v>74</v>
      </c>
      <c r="F15" s="5" t="s">
        <v>62</v>
      </c>
      <c r="G15" s="5" t="s">
        <v>75</v>
      </c>
      <c r="H15" s="5" t="s">
        <v>76</v>
      </c>
    </row>
    <row r="16" customFormat="false" ht="45" hidden="false" customHeight="true" outlineLevel="0" collapsed="false">
      <c r="A16" s="6" t="n">
        <v>12</v>
      </c>
      <c r="B16" s="6" t="s">
        <v>77</v>
      </c>
      <c r="C16" s="6" t="s">
        <v>78</v>
      </c>
      <c r="D16" s="6" t="s">
        <v>79</v>
      </c>
      <c r="E16" s="6" t="s">
        <v>80</v>
      </c>
      <c r="F16" s="6" t="s">
        <v>81</v>
      </c>
      <c r="G16" s="6" t="s">
        <v>82</v>
      </c>
      <c r="H16" s="6" t="s">
        <v>83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3" style="1" width="14"/>
    <col collapsed="false" customWidth="true" hidden="false" outlineLevel="0" max="4" min="4" style="1" width="10.56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8" min="8" style="1" width="14"/>
  </cols>
  <sheetData>
    <row r="1" customFormat="false" ht="30" hidden="false" customHeight="true" outlineLevel="0" collapsed="false">
      <c r="A1" s="2" t="s">
        <v>84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85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6.25" hidden="false" customHeight="true" outlineLevel="0" collapsed="false">
      <c r="A4" s="4" t="s">
        <v>86</v>
      </c>
      <c r="B4" s="4" t="s">
        <v>87</v>
      </c>
      <c r="C4" s="4" t="s">
        <v>88</v>
      </c>
      <c r="D4" s="4" t="s">
        <v>89</v>
      </c>
      <c r="E4" s="4" t="s">
        <v>90</v>
      </c>
      <c r="F4" s="4" t="s">
        <v>91</v>
      </c>
      <c r="G4" s="4" t="s">
        <v>92</v>
      </c>
      <c r="H4" s="4" t="s">
        <v>93</v>
      </c>
      <c r="I4" s="4" t="s">
        <v>94</v>
      </c>
      <c r="J4" s="4" t="s">
        <v>95</v>
      </c>
    </row>
    <row r="5" customFormat="false" ht="14.25" hidden="false" customHeight="true" outlineLevel="0" collapsed="false">
      <c r="A5" s="7" t="n">
        <v>2015</v>
      </c>
      <c r="B5" s="7" t="s">
        <v>96</v>
      </c>
      <c r="C5" s="7" t="s">
        <v>97</v>
      </c>
      <c r="D5" s="8" t="n">
        <v>600000</v>
      </c>
      <c r="E5" s="8" t="n">
        <v>450000</v>
      </c>
      <c r="F5" s="9" t="n">
        <v>41000</v>
      </c>
      <c r="G5" s="9" t="n">
        <v>228890</v>
      </c>
      <c r="H5" s="9" t="n">
        <v>2.8</v>
      </c>
      <c r="I5" s="9" t="n">
        <v>25566.67</v>
      </c>
      <c r="J5" s="7" t="s">
        <v>98</v>
      </c>
    </row>
    <row r="6" customFormat="false" ht="14.25" hidden="false" customHeight="true" outlineLevel="0" collapsed="false">
      <c r="A6" s="10" t="n">
        <v>2015</v>
      </c>
      <c r="B6" s="10" t="s">
        <v>96</v>
      </c>
      <c r="C6" s="10" t="s">
        <v>99</v>
      </c>
      <c r="D6" s="11" t="n">
        <v>550000</v>
      </c>
      <c r="E6" s="11" t="n">
        <v>400000</v>
      </c>
      <c r="F6" s="12" t="n">
        <v>41200</v>
      </c>
      <c r="G6" s="12" t="n">
        <v>228890</v>
      </c>
      <c r="H6" s="12" t="n">
        <v>2.8</v>
      </c>
      <c r="I6" s="12" t="n">
        <v>25686.67</v>
      </c>
      <c r="J6" s="10" t="s">
        <v>98</v>
      </c>
    </row>
    <row r="7" customFormat="false" ht="14.25" hidden="false" customHeight="true" outlineLevel="0" collapsed="false">
      <c r="A7" s="7" t="n">
        <v>2015</v>
      </c>
      <c r="B7" s="7" t="s">
        <v>96</v>
      </c>
      <c r="C7" s="7" t="s">
        <v>100</v>
      </c>
      <c r="D7" s="8" t="n">
        <v>650000</v>
      </c>
      <c r="E7" s="8" t="n">
        <v>500000</v>
      </c>
      <c r="F7" s="9" t="n">
        <v>41100</v>
      </c>
      <c r="G7" s="9" t="n">
        <v>228890</v>
      </c>
      <c r="H7" s="9" t="n">
        <v>2.8</v>
      </c>
      <c r="I7" s="9" t="n">
        <v>25626.67</v>
      </c>
      <c r="J7" s="7" t="s">
        <v>98</v>
      </c>
    </row>
    <row r="8" customFormat="false" ht="14.25" hidden="false" customHeight="true" outlineLevel="0" collapsed="false">
      <c r="A8" s="10" t="n">
        <v>2015</v>
      </c>
      <c r="B8" s="10" t="s">
        <v>96</v>
      </c>
      <c r="C8" s="10" t="s">
        <v>101</v>
      </c>
      <c r="D8" s="11" t="n">
        <v>700000</v>
      </c>
      <c r="E8" s="11" t="n">
        <v>550000</v>
      </c>
      <c r="F8" s="12" t="n">
        <v>41300</v>
      </c>
      <c r="G8" s="12" t="n">
        <v>228890</v>
      </c>
      <c r="H8" s="12" t="n">
        <v>2.8</v>
      </c>
      <c r="I8" s="12" t="n">
        <v>25746.67</v>
      </c>
      <c r="J8" s="10" t="s">
        <v>98</v>
      </c>
    </row>
    <row r="9" customFormat="false" ht="14.25" hidden="false" customHeight="true" outlineLevel="0" collapsed="false">
      <c r="A9" s="7" t="n">
        <v>2015</v>
      </c>
      <c r="B9" s="7" t="s">
        <v>102</v>
      </c>
      <c r="C9" s="7" t="s">
        <v>103</v>
      </c>
      <c r="D9" s="8" t="n">
        <v>722895</v>
      </c>
      <c r="E9" s="8" t="n">
        <v>660683</v>
      </c>
      <c r="F9" s="9" t="n">
        <v>41200</v>
      </c>
      <c r="G9" s="9" t="n">
        <v>227760</v>
      </c>
      <c r="H9" s="9" t="n">
        <v>0.1</v>
      </c>
      <c r="I9" s="9" t="n">
        <v>25413.28</v>
      </c>
      <c r="J9" s="7" t="s">
        <v>98</v>
      </c>
    </row>
    <row r="10" customFormat="false" ht="14.25" hidden="false" customHeight="true" outlineLevel="0" collapsed="false">
      <c r="A10" s="10" t="n">
        <v>2015</v>
      </c>
      <c r="B10" s="10" t="s">
        <v>102</v>
      </c>
      <c r="C10" s="10" t="s">
        <v>104</v>
      </c>
      <c r="D10" s="11" t="n">
        <v>600000</v>
      </c>
      <c r="E10" s="11" t="n">
        <v>450000</v>
      </c>
      <c r="F10" s="12" t="n">
        <v>39500</v>
      </c>
      <c r="G10" s="12" t="n">
        <v>227760</v>
      </c>
      <c r="H10" s="12" t="n">
        <v>0.1</v>
      </c>
      <c r="I10" s="12" t="n">
        <v>24393.28</v>
      </c>
      <c r="J10" s="10" t="s">
        <v>98</v>
      </c>
    </row>
    <row r="11" customFormat="false" ht="14.25" hidden="false" customHeight="true" outlineLevel="0" collapsed="false">
      <c r="A11" s="7" t="n">
        <v>2015</v>
      </c>
      <c r="B11" s="7" t="s">
        <v>102</v>
      </c>
      <c r="C11" s="7" t="s">
        <v>105</v>
      </c>
      <c r="D11" s="8" t="n">
        <v>550000</v>
      </c>
      <c r="E11" s="8" t="n">
        <v>400000</v>
      </c>
      <c r="F11" s="9" t="n">
        <v>39700</v>
      </c>
      <c r="G11" s="9" t="n">
        <v>227760</v>
      </c>
      <c r="H11" s="9" t="n">
        <v>0.1</v>
      </c>
      <c r="I11" s="9" t="n">
        <v>24513.28</v>
      </c>
      <c r="J11" s="7" t="s">
        <v>98</v>
      </c>
    </row>
    <row r="12" customFormat="false" ht="14.25" hidden="false" customHeight="true" outlineLevel="0" collapsed="false">
      <c r="A12" s="10" t="n">
        <v>2015</v>
      </c>
      <c r="B12" s="10" t="s">
        <v>102</v>
      </c>
      <c r="C12" s="10" t="s">
        <v>106</v>
      </c>
      <c r="D12" s="11" t="n">
        <v>650000</v>
      </c>
      <c r="E12" s="11" t="n">
        <v>500000</v>
      </c>
      <c r="F12" s="12" t="n">
        <v>39600</v>
      </c>
      <c r="G12" s="12" t="n">
        <v>227760</v>
      </c>
      <c r="H12" s="12" t="n">
        <v>0.1</v>
      </c>
      <c r="I12" s="12" t="n">
        <v>24453.28</v>
      </c>
      <c r="J12" s="10" t="s">
        <v>98</v>
      </c>
    </row>
    <row r="13" customFormat="false" ht="14.25" hidden="false" customHeight="true" outlineLevel="0" collapsed="false">
      <c r="A13" s="7" t="n">
        <v>2015</v>
      </c>
      <c r="B13" s="7" t="s">
        <v>107</v>
      </c>
      <c r="C13" s="7" t="s">
        <v>108</v>
      </c>
      <c r="D13" s="8" t="n">
        <v>779782</v>
      </c>
      <c r="E13" s="8" t="n">
        <v>721303</v>
      </c>
      <c r="F13" s="9" t="n">
        <v>39800</v>
      </c>
      <c r="G13" s="9" t="n">
        <v>229160</v>
      </c>
      <c r="H13" s="9" t="n">
        <v>-0.4</v>
      </c>
      <c r="I13" s="9" t="n">
        <v>24527.48</v>
      </c>
      <c r="J13" s="7" t="s">
        <v>98</v>
      </c>
    </row>
    <row r="14" customFormat="false" ht="14.25" hidden="false" customHeight="true" outlineLevel="0" collapsed="false">
      <c r="A14" s="10" t="n">
        <v>2015</v>
      </c>
      <c r="B14" s="10" t="s">
        <v>107</v>
      </c>
      <c r="C14" s="10" t="s">
        <v>109</v>
      </c>
      <c r="D14" s="11" t="n">
        <v>600000</v>
      </c>
      <c r="E14" s="11" t="n">
        <v>450000</v>
      </c>
      <c r="F14" s="12" t="n">
        <v>42000</v>
      </c>
      <c r="G14" s="12" t="n">
        <v>229160</v>
      </c>
      <c r="H14" s="12" t="n">
        <v>-0.4</v>
      </c>
      <c r="I14" s="12" t="n">
        <v>25847.48</v>
      </c>
      <c r="J14" s="10" t="s">
        <v>98</v>
      </c>
    </row>
    <row r="15" customFormat="false" ht="14.25" hidden="false" customHeight="true" outlineLevel="0" collapsed="false">
      <c r="A15" s="7" t="n">
        <v>2015</v>
      </c>
      <c r="B15" s="7" t="s">
        <v>107</v>
      </c>
      <c r="C15" s="7" t="s">
        <v>110</v>
      </c>
      <c r="D15" s="8" t="n">
        <v>550000</v>
      </c>
      <c r="E15" s="8" t="n">
        <v>400000</v>
      </c>
      <c r="F15" s="9" t="n">
        <v>42200</v>
      </c>
      <c r="G15" s="9" t="n">
        <v>229160</v>
      </c>
      <c r="H15" s="9" t="n">
        <v>-0.4</v>
      </c>
      <c r="I15" s="9" t="n">
        <v>25967.48</v>
      </c>
      <c r="J15" s="7" t="s">
        <v>98</v>
      </c>
    </row>
    <row r="16" customFormat="false" ht="14.25" hidden="false" customHeight="true" outlineLevel="0" collapsed="false">
      <c r="A16" s="10" t="n">
        <v>2015</v>
      </c>
      <c r="B16" s="10" t="s">
        <v>107</v>
      </c>
      <c r="C16" s="10" t="s">
        <v>111</v>
      </c>
      <c r="D16" s="11" t="n">
        <v>650000</v>
      </c>
      <c r="E16" s="11" t="n">
        <v>500000</v>
      </c>
      <c r="F16" s="12" t="n">
        <v>42100</v>
      </c>
      <c r="G16" s="12" t="n">
        <v>229160</v>
      </c>
      <c r="H16" s="12" t="n">
        <v>-0.4</v>
      </c>
      <c r="I16" s="12" t="n">
        <v>25907.48</v>
      </c>
      <c r="J16" s="10" t="s">
        <v>98</v>
      </c>
    </row>
    <row r="17" customFormat="false" ht="14.25" hidden="false" customHeight="true" outlineLevel="0" collapsed="false">
      <c r="A17" s="7" t="n">
        <v>2015</v>
      </c>
      <c r="B17" s="7" t="s">
        <v>107</v>
      </c>
      <c r="C17" s="7" t="s">
        <v>112</v>
      </c>
      <c r="D17" s="8" t="n">
        <v>776604</v>
      </c>
      <c r="E17" s="8" t="n">
        <v>826311</v>
      </c>
      <c r="F17" s="9" t="n">
        <v>41900</v>
      </c>
      <c r="G17" s="9" t="n">
        <v>229160</v>
      </c>
      <c r="H17" s="9" t="n">
        <v>-0.4</v>
      </c>
      <c r="I17" s="9" t="n">
        <v>25787.48</v>
      </c>
      <c r="J17" s="7" t="s">
        <v>98</v>
      </c>
    </row>
    <row r="18" customFormat="false" ht="14.25" hidden="false" customHeight="true" outlineLevel="0" collapsed="false">
      <c r="A18" s="10" t="n">
        <v>2015</v>
      </c>
      <c r="B18" s="10" t="s">
        <v>113</v>
      </c>
      <c r="C18" s="10" t="s">
        <v>114</v>
      </c>
      <c r="D18" s="11" t="n">
        <v>900000</v>
      </c>
      <c r="E18" s="11" t="n">
        <v>650000</v>
      </c>
      <c r="F18" s="12" t="n">
        <v>39400</v>
      </c>
      <c r="G18" s="12" t="n">
        <v>232090</v>
      </c>
      <c r="H18" s="12" t="n">
        <v>0.5</v>
      </c>
      <c r="I18" s="12" t="n">
        <v>24386.27</v>
      </c>
      <c r="J18" s="10" t="s">
        <v>98</v>
      </c>
    </row>
    <row r="19" customFormat="false" ht="14.25" hidden="false" customHeight="true" outlineLevel="0" collapsed="false">
      <c r="A19" s="7" t="n">
        <v>2015</v>
      </c>
      <c r="B19" s="7" t="s">
        <v>113</v>
      </c>
      <c r="C19" s="7" t="s">
        <v>115</v>
      </c>
      <c r="D19" s="8" t="n">
        <v>850000</v>
      </c>
      <c r="E19" s="8" t="n">
        <v>600000</v>
      </c>
      <c r="F19" s="9" t="n">
        <v>39600</v>
      </c>
      <c r="G19" s="9" t="n">
        <v>232090</v>
      </c>
      <c r="H19" s="9" t="n">
        <v>0.5</v>
      </c>
      <c r="I19" s="9" t="n">
        <v>24506.27</v>
      </c>
      <c r="J19" s="7" t="s">
        <v>98</v>
      </c>
    </row>
    <row r="20" customFormat="false" ht="14.25" hidden="false" customHeight="true" outlineLevel="0" collapsed="false">
      <c r="A20" s="10" t="n">
        <v>2015</v>
      </c>
      <c r="B20" s="10" t="s">
        <v>113</v>
      </c>
      <c r="C20" s="10" t="s">
        <v>116</v>
      </c>
      <c r="D20" s="11" t="n">
        <v>950000</v>
      </c>
      <c r="E20" s="11" t="n">
        <v>700000</v>
      </c>
      <c r="F20" s="12" t="n">
        <v>39500</v>
      </c>
      <c r="G20" s="12" t="n">
        <v>232090</v>
      </c>
      <c r="H20" s="12" t="n">
        <v>0.5</v>
      </c>
      <c r="I20" s="12" t="n">
        <v>24446.27</v>
      </c>
      <c r="J20" s="10" t="s">
        <v>98</v>
      </c>
    </row>
    <row r="21" customFormat="false" ht="14.25" hidden="false" customHeight="true" outlineLevel="0" collapsed="false">
      <c r="A21" s="7" t="n">
        <v>2015</v>
      </c>
      <c r="B21" s="7" t="s">
        <v>113</v>
      </c>
      <c r="C21" s="7" t="s">
        <v>117</v>
      </c>
      <c r="D21" s="8" t="n">
        <v>1000000</v>
      </c>
      <c r="E21" s="8" t="n">
        <v>750000</v>
      </c>
      <c r="F21" s="9" t="n">
        <v>39700</v>
      </c>
      <c r="G21" s="9" t="n">
        <v>232090</v>
      </c>
      <c r="H21" s="9" t="n">
        <v>0.5</v>
      </c>
      <c r="I21" s="9" t="n">
        <v>24566.27</v>
      </c>
      <c r="J21" s="7" t="s">
        <v>98</v>
      </c>
    </row>
    <row r="22" customFormat="false" ht="14.25" hidden="false" customHeight="true" outlineLevel="0" collapsed="false">
      <c r="A22" s="10" t="n">
        <v>2015</v>
      </c>
      <c r="B22" s="10" t="s">
        <v>118</v>
      </c>
      <c r="C22" s="10" t="s">
        <v>119</v>
      </c>
      <c r="D22" s="11" t="n">
        <v>752702</v>
      </c>
      <c r="E22" s="11" t="n">
        <v>1093830</v>
      </c>
      <c r="F22" s="12" t="n">
        <v>39800</v>
      </c>
      <c r="G22" s="12" t="n">
        <v>229730</v>
      </c>
      <c r="H22" s="12" t="n">
        <v>0.7</v>
      </c>
      <c r="I22" s="12" t="n">
        <v>24639.19</v>
      </c>
      <c r="J22" s="10" t="s">
        <v>98</v>
      </c>
    </row>
    <row r="23" customFormat="false" ht="14.25" hidden="false" customHeight="true" outlineLevel="0" collapsed="false">
      <c r="A23" s="7" t="n">
        <v>2015</v>
      </c>
      <c r="B23" s="7" t="s">
        <v>118</v>
      </c>
      <c r="C23" s="7" t="s">
        <v>120</v>
      </c>
      <c r="D23" s="8" t="n">
        <v>900000</v>
      </c>
      <c r="E23" s="8" t="n">
        <v>650000</v>
      </c>
      <c r="F23" s="9" t="n">
        <v>33200</v>
      </c>
      <c r="G23" s="9" t="n">
        <v>229730</v>
      </c>
      <c r="H23" s="9" t="n">
        <v>0.7</v>
      </c>
      <c r="I23" s="9" t="n">
        <v>20679.19</v>
      </c>
      <c r="J23" s="7" t="s">
        <v>98</v>
      </c>
    </row>
    <row r="24" customFormat="false" ht="14.25" hidden="false" customHeight="true" outlineLevel="0" collapsed="false">
      <c r="A24" s="10" t="n">
        <v>2015</v>
      </c>
      <c r="B24" s="10" t="s">
        <v>118</v>
      </c>
      <c r="C24" s="10" t="s">
        <v>121</v>
      </c>
      <c r="D24" s="11" t="n">
        <v>850000</v>
      </c>
      <c r="E24" s="11" t="n">
        <v>600000</v>
      </c>
      <c r="F24" s="12" t="n">
        <v>33400</v>
      </c>
      <c r="G24" s="12" t="n">
        <v>229730</v>
      </c>
      <c r="H24" s="12" t="n">
        <v>0.7</v>
      </c>
      <c r="I24" s="12" t="n">
        <v>20799.19</v>
      </c>
      <c r="J24" s="10" t="s">
        <v>98</v>
      </c>
    </row>
    <row r="25" customFormat="false" ht="14.25" hidden="false" customHeight="true" outlineLevel="0" collapsed="false">
      <c r="A25" s="7" t="n">
        <v>2015</v>
      </c>
      <c r="B25" s="7" t="s">
        <v>118</v>
      </c>
      <c r="C25" s="7" t="s">
        <v>122</v>
      </c>
      <c r="D25" s="8" t="n">
        <v>950000</v>
      </c>
      <c r="E25" s="8" t="n">
        <v>700000</v>
      </c>
      <c r="F25" s="9" t="n">
        <v>33300</v>
      </c>
      <c r="G25" s="9" t="n">
        <v>229730</v>
      </c>
      <c r="H25" s="9" t="n">
        <v>0.7</v>
      </c>
      <c r="I25" s="9" t="n">
        <v>20739.19</v>
      </c>
      <c r="J25" s="7" t="s">
        <v>98</v>
      </c>
    </row>
    <row r="26" customFormat="false" ht="14.25" hidden="false" customHeight="true" outlineLevel="0" collapsed="false">
      <c r="A26" s="10" t="n">
        <v>2015</v>
      </c>
      <c r="B26" s="10" t="s">
        <v>123</v>
      </c>
      <c r="C26" s="10" t="s">
        <v>124</v>
      </c>
      <c r="D26" s="11" t="n">
        <v>1000000</v>
      </c>
      <c r="E26" s="11" t="n">
        <v>750000</v>
      </c>
      <c r="F26" s="12" t="n">
        <v>33500</v>
      </c>
      <c r="G26" s="12" t="n">
        <v>227500</v>
      </c>
      <c r="H26" s="12" t="n">
        <v>0.8</v>
      </c>
      <c r="I26" s="12" t="n">
        <v>20862.5</v>
      </c>
      <c r="J26" s="10" t="s">
        <v>98</v>
      </c>
    </row>
    <row r="27" customFormat="false" ht="14.25" hidden="false" customHeight="true" outlineLevel="0" collapsed="false">
      <c r="A27" s="7" t="n">
        <v>2015</v>
      </c>
      <c r="B27" s="7" t="s">
        <v>123</v>
      </c>
      <c r="C27" s="7" t="s">
        <v>125</v>
      </c>
      <c r="D27" s="8" t="n">
        <v>715132</v>
      </c>
      <c r="E27" s="8" t="n">
        <v>968134</v>
      </c>
      <c r="F27" s="9" t="n">
        <v>33300</v>
      </c>
      <c r="G27" s="9" t="n">
        <v>227500</v>
      </c>
      <c r="H27" s="9" t="n">
        <v>0.8</v>
      </c>
      <c r="I27" s="9" t="n">
        <v>20742.5</v>
      </c>
      <c r="J27" s="7" t="s">
        <v>98</v>
      </c>
    </row>
    <row r="28" customFormat="false" ht="14.25" hidden="false" customHeight="true" outlineLevel="0" collapsed="false">
      <c r="A28" s="10" t="n">
        <v>2015</v>
      </c>
      <c r="B28" s="10" t="s">
        <v>123</v>
      </c>
      <c r="C28" s="10" t="s">
        <v>126</v>
      </c>
      <c r="D28" s="11" t="n">
        <v>900000</v>
      </c>
      <c r="E28" s="11" t="n">
        <v>700000</v>
      </c>
      <c r="F28" s="12" t="n">
        <v>28200</v>
      </c>
      <c r="G28" s="12" t="n">
        <v>227500</v>
      </c>
      <c r="H28" s="12" t="n">
        <v>0.8</v>
      </c>
      <c r="I28" s="12" t="n">
        <v>17682.5</v>
      </c>
      <c r="J28" s="10" t="s">
        <v>98</v>
      </c>
    </row>
    <row r="29" customFormat="false" ht="14.25" hidden="false" customHeight="true" outlineLevel="0" collapsed="false">
      <c r="A29" s="7" t="n">
        <v>2015</v>
      </c>
      <c r="B29" s="7" t="s">
        <v>123</v>
      </c>
      <c r="C29" s="7" t="s">
        <v>127</v>
      </c>
      <c r="D29" s="8" t="n">
        <v>850000</v>
      </c>
      <c r="E29" s="8" t="n">
        <v>650000</v>
      </c>
      <c r="F29" s="9" t="n">
        <v>28400</v>
      </c>
      <c r="G29" s="9" t="n">
        <v>227500</v>
      </c>
      <c r="H29" s="9" t="n">
        <v>0.8</v>
      </c>
      <c r="I29" s="9" t="n">
        <v>17802.5</v>
      </c>
      <c r="J29" s="7" t="s">
        <v>98</v>
      </c>
    </row>
    <row r="30" customFormat="false" ht="14.25" hidden="false" customHeight="true" outlineLevel="0" collapsed="false">
      <c r="A30" s="10" t="n">
        <v>2015</v>
      </c>
      <c r="B30" s="10" t="s">
        <v>123</v>
      </c>
      <c r="C30" s="10" t="s">
        <v>128</v>
      </c>
      <c r="D30" s="11" t="n">
        <v>950000</v>
      </c>
      <c r="E30" s="11" t="n">
        <v>750000</v>
      </c>
      <c r="F30" s="12" t="n">
        <v>28300</v>
      </c>
      <c r="G30" s="12" t="n">
        <v>227500</v>
      </c>
      <c r="H30" s="12" t="n">
        <v>0.8</v>
      </c>
      <c r="I30" s="12" t="n">
        <v>17742.5</v>
      </c>
      <c r="J30" s="10" t="s">
        <v>98</v>
      </c>
    </row>
    <row r="31" customFormat="false" ht="14.25" hidden="false" customHeight="true" outlineLevel="0" collapsed="false">
      <c r="A31" s="7" t="n">
        <v>2015</v>
      </c>
      <c r="B31" s="7" t="s">
        <v>129</v>
      </c>
      <c r="C31" s="7" t="s">
        <v>130</v>
      </c>
      <c r="D31" s="8" t="n">
        <v>1000000</v>
      </c>
      <c r="E31" s="8" t="n">
        <v>800000</v>
      </c>
      <c r="F31" s="9" t="n">
        <v>28500</v>
      </c>
      <c r="G31" s="9" t="n">
        <v>219857.14</v>
      </c>
      <c r="H31" s="9" t="n">
        <v>0.8</v>
      </c>
      <c r="I31" s="9" t="n">
        <v>17839.57142</v>
      </c>
      <c r="J31" s="7" t="s">
        <v>98</v>
      </c>
    </row>
    <row r="32" customFormat="false" ht="14.25" hidden="false" customHeight="true" outlineLevel="0" collapsed="false">
      <c r="A32" s="10" t="n">
        <v>2015</v>
      </c>
      <c r="B32" s="10" t="s">
        <v>129</v>
      </c>
      <c r="C32" s="10" t="s">
        <v>131</v>
      </c>
      <c r="D32" s="11" t="n">
        <v>685122</v>
      </c>
      <c r="E32" s="11" t="n">
        <v>1152165</v>
      </c>
      <c r="F32" s="12" t="n">
        <v>28300</v>
      </c>
      <c r="G32" s="12" t="n">
        <v>219857.14</v>
      </c>
      <c r="H32" s="12" t="n">
        <v>0.8</v>
      </c>
      <c r="I32" s="12" t="n">
        <v>17719.57142</v>
      </c>
      <c r="J32" s="10" t="s">
        <v>98</v>
      </c>
    </row>
    <row r="33" customFormat="false" ht="14.25" hidden="false" customHeight="true" outlineLevel="0" collapsed="false">
      <c r="A33" s="7" t="n">
        <v>2015</v>
      </c>
      <c r="B33" s="7" t="s">
        <v>129</v>
      </c>
      <c r="C33" s="7" t="s">
        <v>132</v>
      </c>
      <c r="D33" s="8" t="n">
        <v>1200000</v>
      </c>
      <c r="E33" s="8" t="n">
        <v>1000000</v>
      </c>
      <c r="F33" s="9" t="n">
        <v>31400</v>
      </c>
      <c r="G33" s="9" t="n">
        <v>219857.14</v>
      </c>
      <c r="H33" s="9" t="n">
        <v>0.8</v>
      </c>
      <c r="I33" s="9" t="n">
        <v>19579.57142</v>
      </c>
      <c r="J33" s="7" t="s">
        <v>98</v>
      </c>
    </row>
    <row r="34" customFormat="false" ht="14.25" hidden="false" customHeight="true" outlineLevel="0" collapsed="false">
      <c r="A34" s="10" t="n">
        <v>2015</v>
      </c>
      <c r="B34" s="10" t="s">
        <v>129</v>
      </c>
      <c r="C34" s="10" t="s">
        <v>133</v>
      </c>
      <c r="D34" s="11" t="n">
        <v>1150000</v>
      </c>
      <c r="E34" s="11" t="n">
        <v>950000</v>
      </c>
      <c r="F34" s="12" t="n">
        <v>31600</v>
      </c>
      <c r="G34" s="12" t="n">
        <v>219857.14</v>
      </c>
      <c r="H34" s="12" t="n">
        <v>0.8</v>
      </c>
      <c r="I34" s="12" t="n">
        <v>19699.57142</v>
      </c>
      <c r="J34" s="10" t="s">
        <v>98</v>
      </c>
    </row>
    <row r="35" customFormat="false" ht="14.25" hidden="false" customHeight="true" outlineLevel="0" collapsed="false">
      <c r="A35" s="7" t="n">
        <v>2015</v>
      </c>
      <c r="B35" s="7" t="s">
        <v>134</v>
      </c>
      <c r="C35" s="7" t="s">
        <v>135</v>
      </c>
      <c r="D35" s="8" t="n">
        <v>1250000</v>
      </c>
      <c r="E35" s="8" t="n">
        <v>1050000</v>
      </c>
      <c r="F35" s="9" t="n">
        <v>31500</v>
      </c>
      <c r="G35" s="9" t="n">
        <v>214842.1</v>
      </c>
      <c r="H35" s="9" t="n">
        <v>0.4</v>
      </c>
      <c r="I35" s="9" t="n">
        <v>19584.5263</v>
      </c>
      <c r="J35" s="7" t="s">
        <v>98</v>
      </c>
    </row>
    <row r="36" customFormat="false" ht="14.25" hidden="false" customHeight="true" outlineLevel="0" collapsed="false">
      <c r="A36" s="10" t="n">
        <v>2015</v>
      </c>
      <c r="B36" s="10" t="s">
        <v>134</v>
      </c>
      <c r="C36" s="10" t="s">
        <v>136</v>
      </c>
      <c r="D36" s="11" t="n">
        <v>1300000</v>
      </c>
      <c r="E36" s="11" t="n">
        <v>1100000</v>
      </c>
      <c r="F36" s="12" t="n">
        <v>31700</v>
      </c>
      <c r="G36" s="12" t="n">
        <v>214842.1</v>
      </c>
      <c r="H36" s="12" t="n">
        <v>0.4</v>
      </c>
      <c r="I36" s="12" t="n">
        <v>19704.5263</v>
      </c>
      <c r="J36" s="10" t="s">
        <v>98</v>
      </c>
    </row>
    <row r="37" customFormat="false" ht="14.25" hidden="false" customHeight="true" outlineLevel="0" collapsed="false">
      <c r="A37" s="7" t="n">
        <v>2015</v>
      </c>
      <c r="B37" s="7" t="s">
        <v>134</v>
      </c>
      <c r="C37" s="7" t="s">
        <v>137</v>
      </c>
      <c r="D37" s="8" t="n">
        <v>1167398</v>
      </c>
      <c r="E37" s="8" t="n">
        <v>1074902</v>
      </c>
      <c r="F37" s="9" t="n">
        <v>31500</v>
      </c>
      <c r="G37" s="9" t="n">
        <v>214842.1</v>
      </c>
      <c r="H37" s="9" t="n">
        <v>0.4</v>
      </c>
      <c r="I37" s="9" t="n">
        <v>19584.5263</v>
      </c>
      <c r="J37" s="7" t="s">
        <v>98</v>
      </c>
    </row>
    <row r="38" customFormat="false" ht="14.25" hidden="false" customHeight="true" outlineLevel="0" collapsed="false">
      <c r="A38" s="10" t="n">
        <v>2015</v>
      </c>
      <c r="B38" s="10" t="s">
        <v>134</v>
      </c>
      <c r="C38" s="10" t="s">
        <v>138</v>
      </c>
      <c r="D38" s="11" t="n">
        <v>1200000</v>
      </c>
      <c r="E38" s="11" t="n">
        <v>800000</v>
      </c>
      <c r="F38" s="12" t="n">
        <v>30000</v>
      </c>
      <c r="G38" s="12" t="n">
        <v>214842.1</v>
      </c>
      <c r="H38" s="12" t="n">
        <v>0.4</v>
      </c>
      <c r="I38" s="12" t="n">
        <v>18684.5263</v>
      </c>
      <c r="J38" s="10" t="s">
        <v>98</v>
      </c>
    </row>
    <row r="39" customFormat="false" ht="14.25" hidden="false" customHeight="true" outlineLevel="0" collapsed="false">
      <c r="A39" s="7" t="n">
        <v>2015</v>
      </c>
      <c r="B39" s="7" t="s">
        <v>134</v>
      </c>
      <c r="C39" s="7" t="s">
        <v>139</v>
      </c>
      <c r="D39" s="8" t="n">
        <v>1150000</v>
      </c>
      <c r="E39" s="8" t="n">
        <v>750000</v>
      </c>
      <c r="F39" s="9" t="n">
        <v>30200</v>
      </c>
      <c r="G39" s="9" t="n">
        <v>214842.1</v>
      </c>
      <c r="H39" s="9" t="n">
        <v>0.4</v>
      </c>
      <c r="I39" s="9" t="n">
        <v>18804.5263</v>
      </c>
      <c r="J39" s="7" t="s">
        <v>98</v>
      </c>
    </row>
    <row r="40" customFormat="false" ht="14.25" hidden="false" customHeight="true" outlineLevel="0" collapsed="false">
      <c r="A40" s="10" t="n">
        <v>2015</v>
      </c>
      <c r="B40" s="10" t="s">
        <v>140</v>
      </c>
      <c r="C40" s="10" t="s">
        <v>141</v>
      </c>
      <c r="D40" s="11" t="n">
        <v>1250000</v>
      </c>
      <c r="E40" s="11" t="n">
        <v>850000</v>
      </c>
      <c r="F40" s="12" t="n">
        <v>30100</v>
      </c>
      <c r="G40" s="12" t="n">
        <v>214404.76</v>
      </c>
      <c r="H40" s="12" t="n">
        <v>-0.3</v>
      </c>
      <c r="I40" s="12" t="n">
        <v>18673.21428</v>
      </c>
      <c r="J40" s="10" t="s">
        <v>98</v>
      </c>
    </row>
    <row r="41" customFormat="false" ht="14.25" hidden="false" customHeight="true" outlineLevel="0" collapsed="false">
      <c r="A41" s="7" t="n">
        <v>2015</v>
      </c>
      <c r="B41" s="7" t="s">
        <v>140</v>
      </c>
      <c r="C41" s="7" t="s">
        <v>142</v>
      </c>
      <c r="D41" s="8" t="n">
        <v>1300000</v>
      </c>
      <c r="E41" s="8" t="n">
        <v>900000</v>
      </c>
      <c r="F41" s="9" t="n">
        <v>30300</v>
      </c>
      <c r="G41" s="9" t="n">
        <v>214404.76</v>
      </c>
      <c r="H41" s="9" t="n">
        <v>-0.3</v>
      </c>
      <c r="I41" s="9" t="n">
        <v>18793.21428</v>
      </c>
      <c r="J41" s="7" t="s">
        <v>98</v>
      </c>
    </row>
    <row r="42" customFormat="false" ht="14.25" hidden="false" customHeight="true" outlineLevel="0" collapsed="false">
      <c r="A42" s="10" t="n">
        <v>2015</v>
      </c>
      <c r="B42" s="10" t="s">
        <v>140</v>
      </c>
      <c r="C42" s="10" t="s">
        <v>143</v>
      </c>
      <c r="D42" s="11" t="n">
        <v>1103970</v>
      </c>
      <c r="E42" s="11" t="n">
        <v>1239733</v>
      </c>
      <c r="F42" s="12" t="n">
        <v>30100</v>
      </c>
      <c r="G42" s="12" t="n">
        <v>214404.76</v>
      </c>
      <c r="H42" s="12" t="n">
        <v>-0.3</v>
      </c>
      <c r="I42" s="12" t="n">
        <v>18673.21428</v>
      </c>
      <c r="J42" s="10" t="s">
        <v>98</v>
      </c>
    </row>
    <row r="43" customFormat="false" ht="14.25" hidden="false" customHeight="true" outlineLevel="0" collapsed="false">
      <c r="A43" s="7" t="n">
        <v>2015</v>
      </c>
      <c r="B43" s="7" t="s">
        <v>140</v>
      </c>
      <c r="C43" s="7" t="s">
        <v>144</v>
      </c>
      <c r="D43" s="8" t="n">
        <v>1200000</v>
      </c>
      <c r="E43" s="8" t="n">
        <v>800000</v>
      </c>
      <c r="F43" s="9" t="n">
        <v>27000</v>
      </c>
      <c r="G43" s="9" t="n">
        <v>214404.76</v>
      </c>
      <c r="H43" s="9" t="n">
        <v>-0.3</v>
      </c>
      <c r="I43" s="9" t="n">
        <v>16813.21428</v>
      </c>
      <c r="J43" s="7" t="s">
        <v>98</v>
      </c>
    </row>
    <row r="44" customFormat="false" ht="14.25" hidden="false" customHeight="true" outlineLevel="0" collapsed="false">
      <c r="A44" s="10" t="n">
        <v>2015</v>
      </c>
      <c r="B44" s="10" t="s">
        <v>145</v>
      </c>
      <c r="C44" s="10" t="s">
        <v>146</v>
      </c>
      <c r="D44" s="11" t="n">
        <v>1150000</v>
      </c>
      <c r="E44" s="11" t="n">
        <v>750000</v>
      </c>
      <c r="F44" s="12" t="n">
        <v>27200</v>
      </c>
      <c r="G44" s="12" t="n">
        <v>227380.95</v>
      </c>
      <c r="H44" s="12" t="n">
        <v>-0.8</v>
      </c>
      <c r="I44" s="12" t="n">
        <v>16922.14285</v>
      </c>
      <c r="J44" s="10" t="s">
        <v>98</v>
      </c>
    </row>
    <row r="45" customFormat="false" ht="14.25" hidden="false" customHeight="true" outlineLevel="0" collapsed="false">
      <c r="A45" s="7" t="n">
        <v>2015</v>
      </c>
      <c r="B45" s="7" t="s">
        <v>145</v>
      </c>
      <c r="C45" s="7" t="s">
        <v>147</v>
      </c>
      <c r="D45" s="8" t="n">
        <v>1250000</v>
      </c>
      <c r="E45" s="8" t="n">
        <v>850000</v>
      </c>
      <c r="F45" s="9" t="n">
        <v>27100</v>
      </c>
      <c r="G45" s="9" t="n">
        <v>227380.95</v>
      </c>
      <c r="H45" s="9" t="n">
        <v>-0.8</v>
      </c>
      <c r="I45" s="9" t="n">
        <v>16862.14285</v>
      </c>
      <c r="J45" s="7" t="s">
        <v>98</v>
      </c>
    </row>
    <row r="46" customFormat="false" ht="14.25" hidden="false" customHeight="true" outlineLevel="0" collapsed="false">
      <c r="A46" s="10" t="n">
        <v>2015</v>
      </c>
      <c r="B46" s="10" t="s">
        <v>145</v>
      </c>
      <c r="C46" s="10" t="s">
        <v>148</v>
      </c>
      <c r="D46" s="11" t="n">
        <v>1300000</v>
      </c>
      <c r="E46" s="11" t="n">
        <v>900000</v>
      </c>
      <c r="F46" s="12" t="n">
        <v>27300</v>
      </c>
      <c r="G46" s="12" t="n">
        <v>227380.95</v>
      </c>
      <c r="H46" s="12" t="n">
        <v>-0.8</v>
      </c>
      <c r="I46" s="12" t="n">
        <v>16982.14285</v>
      </c>
      <c r="J46" s="10" t="s">
        <v>98</v>
      </c>
    </row>
    <row r="47" customFormat="false" ht="14.25" hidden="false" customHeight="true" outlineLevel="0" collapsed="false">
      <c r="A47" s="7" t="n">
        <v>2015</v>
      </c>
      <c r="B47" s="7" t="s">
        <v>145</v>
      </c>
      <c r="C47" s="7" t="s">
        <v>149</v>
      </c>
      <c r="D47" s="8" t="n">
        <v>1266954</v>
      </c>
      <c r="E47" s="8" t="n">
        <v>1104054</v>
      </c>
      <c r="F47" s="9" t="n">
        <v>27100</v>
      </c>
      <c r="G47" s="9" t="n">
        <v>227380.95</v>
      </c>
      <c r="H47" s="9" t="n">
        <v>-0.8</v>
      </c>
      <c r="I47" s="9" t="n">
        <v>16862.14285</v>
      </c>
      <c r="J47" s="7" t="s">
        <v>98</v>
      </c>
    </row>
    <row r="48" customFormat="false" ht="14.25" hidden="false" customHeight="true" outlineLevel="0" collapsed="false">
      <c r="A48" s="10" t="n">
        <v>2015</v>
      </c>
      <c r="B48" s="10" t="s">
        <v>150</v>
      </c>
      <c r="C48" s="10" t="s">
        <v>151</v>
      </c>
      <c r="D48" s="11" t="n">
        <v>1000000</v>
      </c>
      <c r="E48" s="11" t="n">
        <v>700000</v>
      </c>
      <c r="F48" s="12" t="n">
        <v>30100</v>
      </c>
      <c r="G48" s="12" t="n">
        <v>228184.21</v>
      </c>
      <c r="H48" s="12" t="n">
        <v>-1.1</v>
      </c>
      <c r="I48" s="12" t="n">
        <v>18634.55263</v>
      </c>
      <c r="J48" s="10" t="s">
        <v>98</v>
      </c>
    </row>
    <row r="49" customFormat="false" ht="14.25" hidden="false" customHeight="true" outlineLevel="0" collapsed="false">
      <c r="A49" s="7" t="n">
        <v>2015</v>
      </c>
      <c r="B49" s="7" t="s">
        <v>150</v>
      </c>
      <c r="C49" s="7" t="s">
        <v>152</v>
      </c>
      <c r="D49" s="8" t="n">
        <v>950000</v>
      </c>
      <c r="E49" s="8" t="n">
        <v>650000</v>
      </c>
      <c r="F49" s="9" t="n">
        <v>30300</v>
      </c>
      <c r="G49" s="9" t="n">
        <v>228184.21</v>
      </c>
      <c r="H49" s="9" t="n">
        <v>-1.1</v>
      </c>
      <c r="I49" s="9" t="n">
        <v>18754.55263</v>
      </c>
      <c r="J49" s="7" t="s">
        <v>98</v>
      </c>
    </row>
    <row r="50" customFormat="false" ht="14.25" hidden="false" customHeight="true" outlineLevel="0" collapsed="false">
      <c r="A50" s="10" t="n">
        <v>2015</v>
      </c>
      <c r="B50" s="10" t="s">
        <v>150</v>
      </c>
      <c r="C50" s="10" t="s">
        <v>153</v>
      </c>
      <c r="D50" s="11" t="n">
        <v>1050000</v>
      </c>
      <c r="E50" s="11" t="n">
        <v>750000</v>
      </c>
      <c r="F50" s="12" t="n">
        <v>30200</v>
      </c>
      <c r="G50" s="12" t="n">
        <v>228184.21</v>
      </c>
      <c r="H50" s="12" t="n">
        <v>-1.1</v>
      </c>
      <c r="I50" s="12" t="n">
        <v>18694.55263</v>
      </c>
      <c r="J50" s="10" t="s">
        <v>98</v>
      </c>
    </row>
    <row r="51" customFormat="false" ht="14.25" hidden="false" customHeight="true" outlineLevel="0" collapsed="false">
      <c r="A51" s="7" t="n">
        <v>2015</v>
      </c>
      <c r="B51" s="7" t="s">
        <v>150</v>
      </c>
      <c r="C51" s="7" t="s">
        <v>154</v>
      </c>
      <c r="D51" s="8" t="n">
        <v>1100000</v>
      </c>
      <c r="E51" s="8" t="n">
        <v>800000</v>
      </c>
      <c r="F51" s="9" t="n">
        <v>30400</v>
      </c>
      <c r="G51" s="9" t="n">
        <v>228184.21</v>
      </c>
      <c r="H51" s="9" t="n">
        <v>-1.1</v>
      </c>
      <c r="I51" s="9" t="n">
        <v>18814.55263</v>
      </c>
      <c r="J51" s="7" t="s">
        <v>98</v>
      </c>
    </row>
    <row r="52" customFormat="false" ht="14.25" hidden="false" customHeight="true" outlineLevel="0" collapsed="false">
      <c r="A52" s="10" t="n">
        <v>2015</v>
      </c>
      <c r="B52" s="10" t="s">
        <v>150</v>
      </c>
      <c r="C52" s="10" t="s">
        <v>155</v>
      </c>
      <c r="D52" s="11" t="n">
        <v>960869</v>
      </c>
      <c r="E52" s="11" t="n">
        <v>1188288</v>
      </c>
      <c r="F52" s="12" t="n">
        <v>30200</v>
      </c>
      <c r="G52" s="12" t="n">
        <v>228184.21</v>
      </c>
      <c r="H52" s="12" t="n">
        <v>-1.1</v>
      </c>
      <c r="I52" s="12" t="n">
        <v>18694.55263</v>
      </c>
      <c r="J52" s="10" t="s">
        <v>98</v>
      </c>
    </row>
    <row r="53" customFormat="false" ht="14.25" hidden="false" customHeight="true" outlineLevel="0" collapsed="false">
      <c r="A53" s="7" t="n">
        <v>2015</v>
      </c>
      <c r="B53" s="7" t="s">
        <v>156</v>
      </c>
      <c r="C53" s="7" t="s">
        <v>157</v>
      </c>
      <c r="D53" s="8" t="n">
        <v>600000</v>
      </c>
      <c r="E53" s="8" t="n">
        <v>350000</v>
      </c>
      <c r="F53" s="9" t="n">
        <v>28400</v>
      </c>
      <c r="G53" s="9" t="n">
        <v>227785.71</v>
      </c>
      <c r="H53" s="9" t="n">
        <v>2.8</v>
      </c>
      <c r="I53" s="9" t="n">
        <v>18003.35713</v>
      </c>
      <c r="J53" s="7" t="s">
        <v>98</v>
      </c>
    </row>
    <row r="54" customFormat="false" ht="14.25" hidden="false" customHeight="true" outlineLevel="0" collapsed="false">
      <c r="A54" s="10" t="n">
        <v>2015</v>
      </c>
      <c r="B54" s="10" t="s">
        <v>156</v>
      </c>
      <c r="C54" s="10" t="s">
        <v>158</v>
      </c>
      <c r="D54" s="11" t="n">
        <v>550000</v>
      </c>
      <c r="E54" s="11" t="n">
        <v>300000</v>
      </c>
      <c r="F54" s="12" t="n">
        <v>28600</v>
      </c>
      <c r="G54" s="12" t="n">
        <v>227785.71</v>
      </c>
      <c r="H54" s="12" t="n">
        <v>2.8</v>
      </c>
      <c r="I54" s="12" t="n">
        <v>18123.35713</v>
      </c>
      <c r="J54" s="10" t="s">
        <v>98</v>
      </c>
    </row>
    <row r="55" customFormat="false" ht="14.25" hidden="false" customHeight="true" outlineLevel="0" collapsed="false">
      <c r="A55" s="7" t="n">
        <v>2015</v>
      </c>
      <c r="B55" s="7" t="s">
        <v>156</v>
      </c>
      <c r="C55" s="7" t="s">
        <v>159</v>
      </c>
      <c r="D55" s="8" t="n">
        <v>650000</v>
      </c>
      <c r="E55" s="8" t="n">
        <v>400000</v>
      </c>
      <c r="F55" s="9" t="n">
        <v>28500</v>
      </c>
      <c r="G55" s="9" t="n">
        <v>227785.71</v>
      </c>
      <c r="H55" s="9" t="n">
        <v>2.8</v>
      </c>
      <c r="I55" s="9" t="n">
        <v>18063.35713</v>
      </c>
      <c r="J55" s="7" t="s">
        <v>98</v>
      </c>
    </row>
    <row r="56" customFormat="false" ht="14.25" hidden="false" customHeight="true" outlineLevel="0" collapsed="false">
      <c r="A56" s="10" t="n">
        <v>2015</v>
      </c>
      <c r="B56" s="10" t="s">
        <v>156</v>
      </c>
      <c r="C56" s="10" t="s">
        <v>160</v>
      </c>
      <c r="D56" s="11" t="n">
        <v>707503</v>
      </c>
      <c r="E56" s="11" t="n">
        <v>724506</v>
      </c>
      <c r="F56" s="12" t="n">
        <v>28500</v>
      </c>
      <c r="G56" s="12" t="n">
        <v>227785.71</v>
      </c>
      <c r="H56" s="12" t="n">
        <v>2.8</v>
      </c>
      <c r="I56" s="12" t="n">
        <v>18063.35713</v>
      </c>
      <c r="J56" s="10" t="s">
        <v>98</v>
      </c>
    </row>
    <row r="57" customFormat="false" ht="14.25" hidden="false" customHeight="true" outlineLevel="0" collapsed="false">
      <c r="A57" s="7" t="n">
        <v>2016</v>
      </c>
      <c r="B57" s="7" t="s">
        <v>96</v>
      </c>
      <c r="C57" s="7" t="s">
        <v>161</v>
      </c>
      <c r="D57" s="8" t="n">
        <v>600000</v>
      </c>
      <c r="E57" s="8" t="n">
        <v>500000</v>
      </c>
      <c r="F57" s="9" t="n">
        <v>32000</v>
      </c>
      <c r="G57" s="9" t="n">
        <v>226184.21</v>
      </c>
      <c r="H57" s="9" t="n">
        <v>2.1</v>
      </c>
      <c r="I57" s="9" t="n">
        <v>20088.55263</v>
      </c>
      <c r="J57" s="7" t="s">
        <v>98</v>
      </c>
    </row>
    <row r="58" customFormat="false" ht="14.25" hidden="false" customHeight="true" outlineLevel="0" collapsed="false">
      <c r="A58" s="10" t="n">
        <v>2016</v>
      </c>
      <c r="B58" s="10" t="s">
        <v>96</v>
      </c>
      <c r="C58" s="10" t="s">
        <v>162</v>
      </c>
      <c r="D58" s="11" t="n">
        <v>550000</v>
      </c>
      <c r="E58" s="11" t="n">
        <v>450000</v>
      </c>
      <c r="F58" s="12" t="n">
        <v>32200</v>
      </c>
      <c r="G58" s="12" t="n">
        <v>226184.21</v>
      </c>
      <c r="H58" s="12" t="n">
        <v>2.1</v>
      </c>
      <c r="I58" s="12" t="n">
        <v>20208.55263</v>
      </c>
      <c r="J58" s="10" t="s">
        <v>98</v>
      </c>
    </row>
    <row r="59" customFormat="false" ht="14.25" hidden="false" customHeight="true" outlineLevel="0" collapsed="false">
      <c r="A59" s="7" t="n">
        <v>2016</v>
      </c>
      <c r="B59" s="7" t="s">
        <v>96</v>
      </c>
      <c r="C59" s="7" t="s">
        <v>163</v>
      </c>
      <c r="D59" s="8" t="n">
        <v>650000</v>
      </c>
      <c r="E59" s="8" t="n">
        <v>550000</v>
      </c>
      <c r="F59" s="9" t="n">
        <v>32100</v>
      </c>
      <c r="G59" s="9" t="n">
        <v>226184.21</v>
      </c>
      <c r="H59" s="9" t="n">
        <v>2.1</v>
      </c>
      <c r="I59" s="9" t="n">
        <v>20148.55263</v>
      </c>
      <c r="J59" s="7" t="s">
        <v>98</v>
      </c>
    </row>
    <row r="60" customFormat="false" ht="14.25" hidden="false" customHeight="true" outlineLevel="0" collapsed="false">
      <c r="A60" s="10" t="n">
        <v>2016</v>
      </c>
      <c r="B60" s="10" t="s">
        <v>96</v>
      </c>
      <c r="C60" s="10" t="s">
        <v>164</v>
      </c>
      <c r="D60" s="11" t="n">
        <v>758004</v>
      </c>
      <c r="E60" s="11" t="n">
        <v>790181</v>
      </c>
      <c r="F60" s="12" t="n">
        <v>32200</v>
      </c>
      <c r="G60" s="12" t="n">
        <v>226184.21</v>
      </c>
      <c r="H60" s="12" t="n">
        <v>2.1</v>
      </c>
      <c r="I60" s="12" t="n">
        <v>20208.55263</v>
      </c>
      <c r="J60" s="10" t="s">
        <v>98</v>
      </c>
    </row>
    <row r="61" customFormat="false" ht="14.25" hidden="false" customHeight="true" outlineLevel="0" collapsed="false">
      <c r="A61" s="7" t="n">
        <v>2016</v>
      </c>
      <c r="B61" s="7" t="s">
        <v>102</v>
      </c>
      <c r="C61" s="7" t="s">
        <v>165</v>
      </c>
      <c r="D61" s="8" t="n">
        <v>800000</v>
      </c>
      <c r="E61" s="8" t="n">
        <v>450000</v>
      </c>
      <c r="F61" s="9" t="n">
        <v>30500</v>
      </c>
      <c r="G61" s="9" t="n">
        <v>229210.52</v>
      </c>
      <c r="H61" s="9" t="n">
        <v>2.1</v>
      </c>
      <c r="I61" s="9" t="n">
        <v>19197.63156</v>
      </c>
      <c r="J61" s="7" t="s">
        <v>98</v>
      </c>
    </row>
    <row r="62" customFormat="false" ht="14.25" hidden="false" customHeight="true" outlineLevel="0" collapsed="false">
      <c r="A62" s="10" t="n">
        <v>2016</v>
      </c>
      <c r="B62" s="10" t="s">
        <v>102</v>
      </c>
      <c r="C62" s="10" t="s">
        <v>166</v>
      </c>
      <c r="D62" s="11" t="n">
        <v>950000</v>
      </c>
      <c r="E62" s="11" t="n">
        <v>600000</v>
      </c>
      <c r="F62" s="12" t="n">
        <v>29500</v>
      </c>
      <c r="G62" s="12" t="n">
        <v>229210.52</v>
      </c>
      <c r="H62" s="12" t="n">
        <v>2.1</v>
      </c>
      <c r="I62" s="12" t="n">
        <v>18597.63156</v>
      </c>
      <c r="J62" s="10" t="s">
        <v>98</v>
      </c>
    </row>
    <row r="63" customFormat="false" ht="14.25" hidden="false" customHeight="true" outlineLevel="0" collapsed="false">
      <c r="A63" s="7" t="n">
        <v>2016</v>
      </c>
      <c r="B63" s="7" t="s">
        <v>102</v>
      </c>
      <c r="C63" s="7" t="s">
        <v>167</v>
      </c>
      <c r="D63" s="8" t="n">
        <v>1100000</v>
      </c>
      <c r="E63" s="8" t="n">
        <v>750000</v>
      </c>
      <c r="F63" s="9" t="n">
        <v>29000</v>
      </c>
      <c r="G63" s="9" t="n">
        <v>229210.52</v>
      </c>
      <c r="H63" s="9" t="n">
        <v>2.1</v>
      </c>
      <c r="I63" s="9" t="n">
        <v>18297.63156</v>
      </c>
      <c r="J63" s="7" t="s">
        <v>98</v>
      </c>
    </row>
    <row r="64" customFormat="false" ht="14.25" hidden="false" customHeight="true" outlineLevel="0" collapsed="false">
      <c r="A64" s="10" t="n">
        <v>2016</v>
      </c>
      <c r="B64" s="10" t="s">
        <v>102</v>
      </c>
      <c r="C64" s="10" t="s">
        <v>168</v>
      </c>
      <c r="D64" s="11" t="n">
        <v>1200000</v>
      </c>
      <c r="E64" s="11" t="n">
        <v>800000</v>
      </c>
      <c r="F64" s="12" t="n">
        <v>30000</v>
      </c>
      <c r="G64" s="12" t="n">
        <v>229210.52</v>
      </c>
      <c r="H64" s="12" t="n">
        <v>2.1</v>
      </c>
      <c r="I64" s="12" t="n">
        <v>18897.63156</v>
      </c>
      <c r="J64" s="10" t="s">
        <v>98</v>
      </c>
    </row>
    <row r="65" customFormat="false" ht="14.25" hidden="false" customHeight="true" outlineLevel="0" collapsed="false">
      <c r="A65" s="7" t="n">
        <v>2016</v>
      </c>
      <c r="B65" s="7" t="s">
        <v>107</v>
      </c>
      <c r="C65" s="7" t="s">
        <v>169</v>
      </c>
      <c r="D65" s="8" t="n">
        <v>1015946</v>
      </c>
      <c r="E65" s="8" t="n">
        <v>436397</v>
      </c>
      <c r="F65" s="9" t="n">
        <v>29800</v>
      </c>
      <c r="G65" s="9" t="n">
        <v>234425</v>
      </c>
      <c r="H65" s="9" t="n">
        <v>3</v>
      </c>
      <c r="I65" s="9" t="n">
        <v>18883.275</v>
      </c>
      <c r="J65" s="7" t="s">
        <v>98</v>
      </c>
    </row>
    <row r="66" customFormat="false" ht="14.25" hidden="false" customHeight="true" outlineLevel="0" collapsed="false">
      <c r="A66" s="10" t="n">
        <v>2016</v>
      </c>
      <c r="B66" s="10" t="s">
        <v>107</v>
      </c>
      <c r="C66" s="10" t="s">
        <v>170</v>
      </c>
      <c r="D66" s="11" t="n">
        <v>900000</v>
      </c>
      <c r="E66" s="11" t="n">
        <v>800000</v>
      </c>
      <c r="F66" s="12" t="n">
        <v>30800</v>
      </c>
      <c r="G66" s="12" t="n">
        <v>234425</v>
      </c>
      <c r="H66" s="12" t="n">
        <v>3</v>
      </c>
      <c r="I66" s="12" t="n">
        <v>19483.275</v>
      </c>
      <c r="J66" s="10" t="s">
        <v>98</v>
      </c>
    </row>
    <row r="67" customFormat="false" ht="14.25" hidden="false" customHeight="true" outlineLevel="0" collapsed="false">
      <c r="A67" s="7" t="n">
        <v>2016</v>
      </c>
      <c r="B67" s="7" t="s">
        <v>107</v>
      </c>
      <c r="C67" s="7" t="s">
        <v>171</v>
      </c>
      <c r="D67" s="8" t="n">
        <v>850000</v>
      </c>
      <c r="E67" s="8" t="n">
        <v>750000</v>
      </c>
      <c r="F67" s="9" t="n">
        <v>31200</v>
      </c>
      <c r="G67" s="9" t="n">
        <v>234425</v>
      </c>
      <c r="H67" s="9" t="n">
        <v>3</v>
      </c>
      <c r="I67" s="9" t="n">
        <v>19723.275</v>
      </c>
      <c r="J67" s="7" t="s">
        <v>98</v>
      </c>
    </row>
    <row r="68" customFormat="false" ht="14.25" hidden="false" customHeight="true" outlineLevel="0" collapsed="false">
      <c r="A68" s="10" t="n">
        <v>2016</v>
      </c>
      <c r="B68" s="10" t="s">
        <v>107</v>
      </c>
      <c r="C68" s="10" t="s">
        <v>172</v>
      </c>
      <c r="D68" s="11" t="n">
        <v>950000</v>
      </c>
      <c r="E68" s="11" t="n">
        <v>850000</v>
      </c>
      <c r="F68" s="12" t="n">
        <v>30500</v>
      </c>
      <c r="G68" s="12" t="n">
        <v>234425</v>
      </c>
      <c r="H68" s="12" t="n">
        <v>3</v>
      </c>
      <c r="I68" s="12" t="n">
        <v>19303.275</v>
      </c>
      <c r="J68" s="10" t="s">
        <v>98</v>
      </c>
    </row>
    <row r="69" customFormat="false" ht="14.25" hidden="false" customHeight="true" outlineLevel="0" collapsed="false">
      <c r="A69" s="7" t="n">
        <v>2016</v>
      </c>
      <c r="B69" s="7" t="s">
        <v>107</v>
      </c>
      <c r="C69" s="7" t="s">
        <v>173</v>
      </c>
      <c r="D69" s="8" t="n">
        <v>1179241</v>
      </c>
      <c r="E69" s="8" t="n">
        <v>1414308</v>
      </c>
      <c r="F69" s="9" t="n">
        <v>30200</v>
      </c>
      <c r="G69" s="9" t="n">
        <v>234425</v>
      </c>
      <c r="H69" s="9" t="n">
        <v>3</v>
      </c>
      <c r="I69" s="9" t="n">
        <v>19123.275</v>
      </c>
      <c r="J69" s="7" t="s">
        <v>98</v>
      </c>
    </row>
    <row r="70" customFormat="false" ht="14.25" hidden="false" customHeight="true" outlineLevel="0" collapsed="false">
      <c r="A70" s="10" t="n">
        <v>2016</v>
      </c>
      <c r="B70" s="10" t="s">
        <v>113</v>
      </c>
      <c r="C70" s="10" t="s">
        <v>174</v>
      </c>
      <c r="D70" s="11" t="n">
        <v>1500000</v>
      </c>
      <c r="E70" s="11" t="n">
        <v>900000</v>
      </c>
      <c r="F70" s="12" t="n">
        <v>26000</v>
      </c>
      <c r="G70" s="12" t="n">
        <v>244852.94</v>
      </c>
      <c r="H70" s="12" t="n">
        <v>3.5</v>
      </c>
      <c r="I70" s="12" t="n">
        <v>16684.55882</v>
      </c>
      <c r="J70" s="10" t="s">
        <v>98</v>
      </c>
    </row>
    <row r="71" customFormat="false" ht="14.25" hidden="false" customHeight="true" outlineLevel="0" collapsed="false">
      <c r="A71" s="7" t="n">
        <v>2016</v>
      </c>
      <c r="B71" s="7" t="s">
        <v>113</v>
      </c>
      <c r="C71" s="7" t="s">
        <v>175</v>
      </c>
      <c r="D71" s="8" t="n">
        <v>1400000</v>
      </c>
      <c r="E71" s="8" t="n">
        <v>800000</v>
      </c>
      <c r="F71" s="9" t="n">
        <v>26500</v>
      </c>
      <c r="G71" s="9" t="n">
        <v>244852.94</v>
      </c>
      <c r="H71" s="9" t="n">
        <v>3.5</v>
      </c>
      <c r="I71" s="9" t="n">
        <v>16984.55882</v>
      </c>
      <c r="J71" s="7" t="s">
        <v>98</v>
      </c>
    </row>
    <row r="72" customFormat="false" ht="14.25" hidden="false" customHeight="true" outlineLevel="0" collapsed="false">
      <c r="A72" s="10" t="n">
        <v>2016</v>
      </c>
      <c r="B72" s="10" t="s">
        <v>113</v>
      </c>
      <c r="C72" s="10" t="s">
        <v>176</v>
      </c>
      <c r="D72" s="11" t="n">
        <v>1600000</v>
      </c>
      <c r="E72" s="11" t="n">
        <v>1000000</v>
      </c>
      <c r="F72" s="12" t="n">
        <v>26200</v>
      </c>
      <c r="G72" s="12" t="n">
        <v>244852.94</v>
      </c>
      <c r="H72" s="12" t="n">
        <v>3.5</v>
      </c>
      <c r="I72" s="12" t="n">
        <v>16804.55882</v>
      </c>
      <c r="J72" s="10" t="s">
        <v>98</v>
      </c>
    </row>
    <row r="73" customFormat="false" ht="14.25" hidden="false" customHeight="true" outlineLevel="0" collapsed="false">
      <c r="A73" s="7" t="n">
        <v>2016</v>
      </c>
      <c r="B73" s="7" t="s">
        <v>113</v>
      </c>
      <c r="C73" s="7" t="s">
        <v>177</v>
      </c>
      <c r="D73" s="8" t="n">
        <v>1800000</v>
      </c>
      <c r="E73" s="8" t="n">
        <v>1200000</v>
      </c>
      <c r="F73" s="9" t="n">
        <v>25800</v>
      </c>
      <c r="G73" s="9" t="n">
        <v>244852.94</v>
      </c>
      <c r="H73" s="9" t="n">
        <v>3.5</v>
      </c>
      <c r="I73" s="9" t="n">
        <v>16564.55882</v>
      </c>
      <c r="J73" s="7" t="s">
        <v>98</v>
      </c>
    </row>
    <row r="74" customFormat="false" ht="14.25" hidden="false" customHeight="true" outlineLevel="0" collapsed="false">
      <c r="A74" s="10" t="n">
        <v>2016</v>
      </c>
      <c r="B74" s="10" t="s">
        <v>118</v>
      </c>
      <c r="C74" s="10" t="s">
        <v>178</v>
      </c>
      <c r="D74" s="11" t="n">
        <v>1744038</v>
      </c>
      <c r="E74" s="11" t="n">
        <v>1361272</v>
      </c>
      <c r="F74" s="12" t="n">
        <v>26000</v>
      </c>
      <c r="G74" s="12" t="n">
        <v>260340.9</v>
      </c>
      <c r="H74" s="12" t="n">
        <v>4.2</v>
      </c>
      <c r="I74" s="12" t="n">
        <v>16801.0227</v>
      </c>
      <c r="J74" s="10" t="s">
        <v>98</v>
      </c>
    </row>
    <row r="75" customFormat="false" ht="14.25" hidden="false" customHeight="true" outlineLevel="0" collapsed="false">
      <c r="A75" s="7" t="n">
        <v>2016</v>
      </c>
      <c r="B75" s="7" t="s">
        <v>118</v>
      </c>
      <c r="C75" s="7" t="s">
        <v>179</v>
      </c>
      <c r="D75" s="8" t="n">
        <v>1200000</v>
      </c>
      <c r="E75" s="8" t="n">
        <v>600000</v>
      </c>
      <c r="F75" s="9" t="n">
        <v>23500</v>
      </c>
      <c r="G75" s="9" t="n">
        <v>260340.9</v>
      </c>
      <c r="H75" s="9" t="n">
        <v>4.2</v>
      </c>
      <c r="I75" s="9" t="n">
        <v>15301.0227</v>
      </c>
      <c r="J75" s="7" t="s">
        <v>98</v>
      </c>
    </row>
    <row r="76" customFormat="false" ht="14.25" hidden="false" customHeight="true" outlineLevel="0" collapsed="false">
      <c r="A76" s="10" t="n">
        <v>2016</v>
      </c>
      <c r="B76" s="10" t="s">
        <v>118</v>
      </c>
      <c r="C76" s="10" t="s">
        <v>180</v>
      </c>
      <c r="D76" s="11" t="n">
        <v>1100000</v>
      </c>
      <c r="E76" s="11" t="n">
        <v>500000</v>
      </c>
      <c r="F76" s="12" t="n">
        <v>24000</v>
      </c>
      <c r="G76" s="12" t="n">
        <v>260340.9</v>
      </c>
      <c r="H76" s="12" t="n">
        <v>4.2</v>
      </c>
      <c r="I76" s="12" t="n">
        <v>15601.0227</v>
      </c>
      <c r="J76" s="10" t="s">
        <v>98</v>
      </c>
    </row>
    <row r="77" customFormat="false" ht="14.25" hidden="false" customHeight="true" outlineLevel="0" collapsed="false">
      <c r="A77" s="7" t="n">
        <v>2016</v>
      </c>
      <c r="B77" s="7" t="s">
        <v>118</v>
      </c>
      <c r="C77" s="7" t="s">
        <v>181</v>
      </c>
      <c r="D77" s="8" t="n">
        <v>1300000</v>
      </c>
      <c r="E77" s="8" t="n">
        <v>700000</v>
      </c>
      <c r="F77" s="9" t="n">
        <v>23700</v>
      </c>
      <c r="G77" s="9" t="n">
        <v>260340.9</v>
      </c>
      <c r="H77" s="9" t="n">
        <v>4.2</v>
      </c>
      <c r="I77" s="9" t="n">
        <v>15421.0227</v>
      </c>
      <c r="J77" s="7" t="s">
        <v>98</v>
      </c>
    </row>
    <row r="78" customFormat="false" ht="14.25" hidden="false" customHeight="true" outlineLevel="0" collapsed="false">
      <c r="A78" s="10" t="n">
        <v>2016</v>
      </c>
      <c r="B78" s="10" t="s">
        <v>118</v>
      </c>
      <c r="C78" s="10" t="s">
        <v>182</v>
      </c>
      <c r="D78" s="11" t="n">
        <v>1600855</v>
      </c>
      <c r="E78" s="11" t="n">
        <v>1242128</v>
      </c>
      <c r="F78" s="12" t="n">
        <v>23500</v>
      </c>
      <c r="G78" s="12" t="n">
        <v>260340.9</v>
      </c>
      <c r="H78" s="12" t="n">
        <v>4.2</v>
      </c>
      <c r="I78" s="12" t="n">
        <v>15301.0227</v>
      </c>
      <c r="J78" s="10" t="s">
        <v>98</v>
      </c>
    </row>
    <row r="79" customFormat="false" ht="14.25" hidden="false" customHeight="true" outlineLevel="0" collapsed="false">
      <c r="A79" s="7" t="n">
        <v>2016</v>
      </c>
      <c r="B79" s="7" t="s">
        <v>123</v>
      </c>
      <c r="C79" s="7" t="s">
        <v>183</v>
      </c>
      <c r="D79" s="8" t="n">
        <v>1800000</v>
      </c>
      <c r="E79" s="8" t="n">
        <v>800000</v>
      </c>
      <c r="F79" s="9" t="n">
        <v>22000</v>
      </c>
      <c r="G79" s="9" t="n">
        <v>273522.73</v>
      </c>
      <c r="H79" s="9" t="n">
        <v>4.6</v>
      </c>
      <c r="I79" s="9" t="n">
        <v>14480.56819</v>
      </c>
      <c r="J79" s="7" t="s">
        <v>98</v>
      </c>
    </row>
    <row r="80" customFormat="false" ht="14.25" hidden="false" customHeight="true" outlineLevel="0" collapsed="false">
      <c r="A80" s="10" t="n">
        <v>2016</v>
      </c>
      <c r="B80" s="10" t="s">
        <v>123</v>
      </c>
      <c r="C80" s="10" t="s">
        <v>184</v>
      </c>
      <c r="D80" s="11" t="n">
        <v>1600000</v>
      </c>
      <c r="E80" s="11" t="n">
        <v>700000</v>
      </c>
      <c r="F80" s="12" t="n">
        <v>22500</v>
      </c>
      <c r="G80" s="12" t="n">
        <v>273522.73</v>
      </c>
      <c r="H80" s="12" t="n">
        <v>4.6</v>
      </c>
      <c r="I80" s="12" t="n">
        <v>14780.56819</v>
      </c>
      <c r="J80" s="10" t="s">
        <v>98</v>
      </c>
    </row>
    <row r="81" customFormat="false" ht="14.25" hidden="false" customHeight="true" outlineLevel="0" collapsed="false">
      <c r="A81" s="7" t="n">
        <v>2016</v>
      </c>
      <c r="B81" s="7" t="s">
        <v>123</v>
      </c>
      <c r="C81" s="7" t="s">
        <v>185</v>
      </c>
      <c r="D81" s="8" t="n">
        <v>2000000</v>
      </c>
      <c r="E81" s="8" t="n">
        <v>1000000</v>
      </c>
      <c r="F81" s="9" t="n">
        <v>22100</v>
      </c>
      <c r="G81" s="9" t="n">
        <v>273522.73</v>
      </c>
      <c r="H81" s="9" t="n">
        <v>4.6</v>
      </c>
      <c r="I81" s="9" t="n">
        <v>14540.56819</v>
      </c>
      <c r="J81" s="7" t="s">
        <v>98</v>
      </c>
    </row>
    <row r="82" customFormat="false" ht="14.25" hidden="false" customHeight="true" outlineLevel="0" collapsed="false">
      <c r="A82" s="10" t="n">
        <v>2016</v>
      </c>
      <c r="B82" s="10" t="s">
        <v>123</v>
      </c>
      <c r="C82" s="10" t="s">
        <v>186</v>
      </c>
      <c r="D82" s="11" t="n">
        <v>2200000</v>
      </c>
      <c r="E82" s="11" t="n">
        <v>1200000</v>
      </c>
      <c r="F82" s="12" t="n">
        <v>21900</v>
      </c>
      <c r="G82" s="12" t="n">
        <v>273522.73</v>
      </c>
      <c r="H82" s="12" t="n">
        <v>4.6</v>
      </c>
      <c r="I82" s="12" t="n">
        <v>14420.56819</v>
      </c>
      <c r="J82" s="10" t="s">
        <v>98</v>
      </c>
    </row>
    <row r="83" customFormat="false" ht="14.25" hidden="false" customHeight="true" outlineLevel="0" collapsed="false">
      <c r="A83" s="7" t="n">
        <v>2016</v>
      </c>
      <c r="B83" s="7" t="s">
        <v>129</v>
      </c>
      <c r="C83" s="7" t="s">
        <v>187</v>
      </c>
      <c r="D83" s="8" t="n">
        <v>2288555</v>
      </c>
      <c r="E83" s="8" t="n">
        <v>894440</v>
      </c>
      <c r="F83" s="9" t="n">
        <v>22300</v>
      </c>
      <c r="G83" s="9" t="n">
        <v>281184.21</v>
      </c>
      <c r="H83" s="9" t="n">
        <v>4.6</v>
      </c>
      <c r="I83" s="9" t="n">
        <v>14683.55263</v>
      </c>
      <c r="J83" s="7" t="s">
        <v>98</v>
      </c>
    </row>
    <row r="84" customFormat="false" ht="14.25" hidden="false" customHeight="true" outlineLevel="0" collapsed="false">
      <c r="A84" s="10" t="n">
        <v>2016</v>
      </c>
      <c r="B84" s="10" t="s">
        <v>129</v>
      </c>
      <c r="C84" s="10" t="s">
        <v>188</v>
      </c>
      <c r="D84" s="11" t="n">
        <v>1800000</v>
      </c>
      <c r="E84" s="11" t="n">
        <v>1000000</v>
      </c>
      <c r="F84" s="12" t="n">
        <v>23300</v>
      </c>
      <c r="G84" s="12" t="n">
        <v>281184.21</v>
      </c>
      <c r="H84" s="12" t="n">
        <v>4.6</v>
      </c>
      <c r="I84" s="12" t="n">
        <v>15283.55263</v>
      </c>
      <c r="J84" s="10" t="s">
        <v>98</v>
      </c>
    </row>
    <row r="85" customFormat="false" ht="14.25" hidden="false" customHeight="true" outlineLevel="0" collapsed="false">
      <c r="A85" s="7" t="n">
        <v>2016</v>
      </c>
      <c r="B85" s="7" t="s">
        <v>129</v>
      </c>
      <c r="C85" s="7" t="s">
        <v>189</v>
      </c>
      <c r="D85" s="8" t="n">
        <v>1600000</v>
      </c>
      <c r="E85" s="8" t="n">
        <v>900000</v>
      </c>
      <c r="F85" s="9" t="n">
        <v>23700</v>
      </c>
      <c r="G85" s="9" t="n">
        <v>281184.21</v>
      </c>
      <c r="H85" s="9" t="n">
        <v>4.6</v>
      </c>
      <c r="I85" s="9" t="n">
        <v>15523.55263</v>
      </c>
      <c r="J85" s="7" t="s">
        <v>98</v>
      </c>
    </row>
    <row r="86" customFormat="false" ht="14.25" hidden="false" customHeight="true" outlineLevel="0" collapsed="false">
      <c r="A86" s="10" t="n">
        <v>2016</v>
      </c>
      <c r="B86" s="10" t="s">
        <v>129</v>
      </c>
      <c r="C86" s="10" t="s">
        <v>190</v>
      </c>
      <c r="D86" s="11" t="n">
        <v>1900000</v>
      </c>
      <c r="E86" s="11" t="n">
        <v>1100000</v>
      </c>
      <c r="F86" s="12" t="n">
        <v>23500</v>
      </c>
      <c r="G86" s="12" t="n">
        <v>281184.21</v>
      </c>
      <c r="H86" s="12" t="n">
        <v>4.6</v>
      </c>
      <c r="I86" s="12" t="n">
        <v>15403.55263</v>
      </c>
      <c r="J86" s="10" t="s">
        <v>98</v>
      </c>
    </row>
    <row r="87" customFormat="false" ht="14.25" hidden="false" customHeight="true" outlineLevel="0" collapsed="false">
      <c r="A87" s="7" t="n">
        <v>2016</v>
      </c>
      <c r="B87" s="7" t="s">
        <v>134</v>
      </c>
      <c r="C87" s="7" t="s">
        <v>191</v>
      </c>
      <c r="D87" s="8" t="n">
        <v>2408184</v>
      </c>
      <c r="E87" s="8" t="n">
        <v>1659119</v>
      </c>
      <c r="F87" s="9" t="n">
        <v>23600</v>
      </c>
      <c r="G87" s="9" t="n">
        <v>277045.45</v>
      </c>
      <c r="H87" s="9" t="n">
        <v>4</v>
      </c>
      <c r="I87" s="9" t="n">
        <v>15391.13635</v>
      </c>
      <c r="J87" s="7" t="s">
        <v>98</v>
      </c>
    </row>
    <row r="88" customFormat="false" ht="14.25" hidden="false" customHeight="true" outlineLevel="0" collapsed="false">
      <c r="A88" s="10" t="n">
        <v>2016</v>
      </c>
      <c r="B88" s="10" t="s">
        <v>134</v>
      </c>
      <c r="C88" s="10" t="s">
        <v>192</v>
      </c>
      <c r="D88" s="11" t="n">
        <v>1800000</v>
      </c>
      <c r="E88" s="11" t="n">
        <v>800000</v>
      </c>
      <c r="F88" s="12" t="n">
        <v>23000</v>
      </c>
      <c r="G88" s="12" t="n">
        <v>277045.45</v>
      </c>
      <c r="H88" s="12" t="n">
        <v>4</v>
      </c>
      <c r="I88" s="12" t="n">
        <v>15031.13635</v>
      </c>
      <c r="J88" s="10" t="s">
        <v>98</v>
      </c>
    </row>
    <row r="89" customFormat="false" ht="14.25" hidden="false" customHeight="true" outlineLevel="0" collapsed="false">
      <c r="A89" s="7" t="n">
        <v>2016</v>
      </c>
      <c r="B89" s="7" t="s">
        <v>134</v>
      </c>
      <c r="C89" s="7" t="s">
        <v>193</v>
      </c>
      <c r="D89" s="8" t="n">
        <v>1600000</v>
      </c>
      <c r="E89" s="8" t="n">
        <v>700000</v>
      </c>
      <c r="F89" s="9" t="n">
        <v>23400</v>
      </c>
      <c r="G89" s="9" t="n">
        <v>277045.45</v>
      </c>
      <c r="H89" s="9" t="n">
        <v>4</v>
      </c>
      <c r="I89" s="9" t="n">
        <v>15271.13635</v>
      </c>
      <c r="J89" s="7" t="s">
        <v>98</v>
      </c>
    </row>
    <row r="90" customFormat="false" ht="14.25" hidden="false" customHeight="true" outlineLevel="0" collapsed="false">
      <c r="A90" s="10" t="n">
        <v>2016</v>
      </c>
      <c r="B90" s="10" t="s">
        <v>134</v>
      </c>
      <c r="C90" s="10" t="s">
        <v>194</v>
      </c>
      <c r="D90" s="11" t="n">
        <v>1900000</v>
      </c>
      <c r="E90" s="11" t="n">
        <v>900000</v>
      </c>
      <c r="F90" s="12" t="n">
        <v>23200</v>
      </c>
      <c r="G90" s="12" t="n">
        <v>277045.45</v>
      </c>
      <c r="H90" s="12" t="n">
        <v>4</v>
      </c>
      <c r="I90" s="12" t="n">
        <v>15151.13635</v>
      </c>
      <c r="J90" s="10" t="s">
        <v>98</v>
      </c>
    </row>
    <row r="91" customFormat="false" ht="14.25" hidden="false" customHeight="true" outlineLevel="0" collapsed="false">
      <c r="A91" s="7" t="n">
        <v>2016</v>
      </c>
      <c r="B91" s="7" t="s">
        <v>134</v>
      </c>
      <c r="C91" s="7" t="s">
        <v>195</v>
      </c>
      <c r="D91" s="8" t="n">
        <v>2611975</v>
      </c>
      <c r="E91" s="8" t="n">
        <v>1934858</v>
      </c>
      <c r="F91" s="9" t="n">
        <v>23300</v>
      </c>
      <c r="G91" s="9" t="n">
        <v>277045.45</v>
      </c>
      <c r="H91" s="9" t="n">
        <v>4</v>
      </c>
      <c r="I91" s="9" t="n">
        <v>15211.13635</v>
      </c>
      <c r="J91" s="7" t="s">
        <v>98</v>
      </c>
    </row>
    <row r="92" customFormat="false" ht="14.25" hidden="false" customHeight="true" outlineLevel="0" collapsed="false">
      <c r="A92" s="10" t="n">
        <v>2016</v>
      </c>
      <c r="B92" s="10" t="s">
        <v>140</v>
      </c>
      <c r="C92" s="10" t="s">
        <v>196</v>
      </c>
      <c r="D92" s="11" t="n">
        <v>1800000</v>
      </c>
      <c r="E92" s="11" t="n">
        <v>1000000</v>
      </c>
      <c r="F92" s="12" t="n">
        <v>22500</v>
      </c>
      <c r="G92" s="12" t="n">
        <v>283205</v>
      </c>
      <c r="H92" s="12" t="n">
        <v>4.1</v>
      </c>
      <c r="I92" s="12" t="n">
        <v>14759.615</v>
      </c>
      <c r="J92" s="10" t="s">
        <v>98</v>
      </c>
    </row>
    <row r="93" customFormat="false" ht="14.25" hidden="false" customHeight="true" outlineLevel="0" collapsed="false">
      <c r="A93" s="7" t="n">
        <v>2016</v>
      </c>
      <c r="B93" s="7" t="s">
        <v>140</v>
      </c>
      <c r="C93" s="7" t="s">
        <v>197</v>
      </c>
      <c r="D93" s="8" t="n">
        <v>1600000</v>
      </c>
      <c r="E93" s="8" t="n">
        <v>900000</v>
      </c>
      <c r="F93" s="9" t="n">
        <v>22800</v>
      </c>
      <c r="G93" s="9" t="n">
        <v>283205</v>
      </c>
      <c r="H93" s="9" t="n">
        <v>4.1</v>
      </c>
      <c r="I93" s="9" t="n">
        <v>14939.615</v>
      </c>
      <c r="J93" s="7" t="s">
        <v>98</v>
      </c>
    </row>
    <row r="94" customFormat="false" ht="14.25" hidden="false" customHeight="true" outlineLevel="0" collapsed="false">
      <c r="A94" s="10" t="n">
        <v>2016</v>
      </c>
      <c r="B94" s="10" t="s">
        <v>140</v>
      </c>
      <c r="C94" s="10" t="s">
        <v>198</v>
      </c>
      <c r="D94" s="11" t="n">
        <v>1900000</v>
      </c>
      <c r="E94" s="11" t="n">
        <v>1000000</v>
      </c>
      <c r="F94" s="12" t="n">
        <v>22600</v>
      </c>
      <c r="G94" s="12" t="n">
        <v>283205</v>
      </c>
      <c r="H94" s="12" t="n">
        <v>4.1</v>
      </c>
      <c r="I94" s="12" t="n">
        <v>14819.615</v>
      </c>
      <c r="J94" s="10" t="s">
        <v>98</v>
      </c>
    </row>
    <row r="95" customFormat="false" ht="14.25" hidden="false" customHeight="true" outlineLevel="0" collapsed="false">
      <c r="A95" s="7" t="n">
        <v>2016</v>
      </c>
      <c r="B95" s="7" t="s">
        <v>140</v>
      </c>
      <c r="C95" s="7" t="s">
        <v>199</v>
      </c>
      <c r="D95" s="8" t="n">
        <v>1988387</v>
      </c>
      <c r="E95" s="8" t="n">
        <v>1951852</v>
      </c>
      <c r="F95" s="9" t="n">
        <v>22800</v>
      </c>
      <c r="G95" s="9" t="n">
        <v>283205</v>
      </c>
      <c r="H95" s="9" t="n">
        <v>4.1</v>
      </c>
      <c r="I95" s="9" t="n">
        <v>14939.615</v>
      </c>
      <c r="J95" s="7" t="s">
        <v>98</v>
      </c>
    </row>
    <row r="96" customFormat="false" ht="14.25" hidden="false" customHeight="true" outlineLevel="0" collapsed="false">
      <c r="A96" s="10" t="n">
        <v>2016</v>
      </c>
      <c r="B96" s="10" t="s">
        <v>145</v>
      </c>
      <c r="C96" s="10" t="s">
        <v>200</v>
      </c>
      <c r="D96" s="11" t="n">
        <v>1600000</v>
      </c>
      <c r="E96" s="11" t="n">
        <v>1400000</v>
      </c>
      <c r="F96" s="12" t="n">
        <v>27400</v>
      </c>
      <c r="G96" s="12" t="n">
        <v>289523.8</v>
      </c>
      <c r="H96" s="12" t="n">
        <v>4.2</v>
      </c>
      <c r="I96" s="12" t="n">
        <v>17728.5714</v>
      </c>
      <c r="J96" s="10" t="s">
        <v>98</v>
      </c>
    </row>
    <row r="97" customFormat="false" ht="14.25" hidden="false" customHeight="true" outlineLevel="0" collapsed="false">
      <c r="A97" s="7" t="n">
        <v>2016</v>
      </c>
      <c r="B97" s="7" t="s">
        <v>145</v>
      </c>
      <c r="C97" s="7" t="s">
        <v>201</v>
      </c>
      <c r="D97" s="8" t="n">
        <v>1400000</v>
      </c>
      <c r="E97" s="8" t="n">
        <v>1200000</v>
      </c>
      <c r="F97" s="9" t="n">
        <v>27600</v>
      </c>
      <c r="G97" s="9" t="n">
        <v>289523.8</v>
      </c>
      <c r="H97" s="9" t="n">
        <v>4.2</v>
      </c>
      <c r="I97" s="9" t="n">
        <v>17848.5714</v>
      </c>
      <c r="J97" s="7" t="s">
        <v>98</v>
      </c>
    </row>
    <row r="98" customFormat="false" ht="14.25" hidden="false" customHeight="true" outlineLevel="0" collapsed="false">
      <c r="A98" s="10" t="n">
        <v>2016</v>
      </c>
      <c r="B98" s="10" t="s">
        <v>145</v>
      </c>
      <c r="C98" s="10" t="s">
        <v>202</v>
      </c>
      <c r="D98" s="11" t="n">
        <v>1700000</v>
      </c>
      <c r="E98" s="11" t="n">
        <v>1500000</v>
      </c>
      <c r="F98" s="12" t="n">
        <v>27500</v>
      </c>
      <c r="G98" s="12" t="n">
        <v>289523.8</v>
      </c>
      <c r="H98" s="12" t="n">
        <v>4.2</v>
      </c>
      <c r="I98" s="12" t="n">
        <v>17788.5714</v>
      </c>
      <c r="J98" s="10" t="s">
        <v>98</v>
      </c>
    </row>
    <row r="99" customFormat="false" ht="14.25" hidden="false" customHeight="true" outlineLevel="0" collapsed="false">
      <c r="A99" s="7" t="n">
        <v>2016</v>
      </c>
      <c r="B99" s="7" t="s">
        <v>145</v>
      </c>
      <c r="C99" s="7" t="s">
        <v>203</v>
      </c>
      <c r="D99" s="8" t="n">
        <v>1741878</v>
      </c>
      <c r="E99" s="8" t="n">
        <v>2449692</v>
      </c>
      <c r="F99" s="9" t="n">
        <v>27700</v>
      </c>
      <c r="G99" s="9" t="n">
        <v>289523.8</v>
      </c>
      <c r="H99" s="9" t="n">
        <v>4.2</v>
      </c>
      <c r="I99" s="9" t="n">
        <v>17908.5714</v>
      </c>
      <c r="J99" s="7" t="s">
        <v>98</v>
      </c>
    </row>
    <row r="100" customFormat="false" ht="14.25" hidden="false" customHeight="true" outlineLevel="0" collapsed="false">
      <c r="A100" s="10" t="n">
        <v>2016</v>
      </c>
      <c r="B100" s="10" t="s">
        <v>145</v>
      </c>
      <c r="C100" s="10" t="s">
        <v>204</v>
      </c>
      <c r="D100" s="11" t="n">
        <v>1200000</v>
      </c>
      <c r="E100" s="11" t="n">
        <v>900000</v>
      </c>
      <c r="F100" s="12" t="n">
        <v>30800</v>
      </c>
      <c r="G100" s="12" t="n">
        <v>289523.8</v>
      </c>
      <c r="H100" s="12" t="n">
        <v>4.2</v>
      </c>
      <c r="I100" s="12" t="n">
        <v>19768.5714</v>
      </c>
      <c r="J100" s="10" t="s">
        <v>98</v>
      </c>
    </row>
    <row r="101" customFormat="false" ht="14.25" hidden="false" customHeight="true" outlineLevel="0" collapsed="false">
      <c r="A101" s="7" t="n">
        <v>2016</v>
      </c>
      <c r="B101" s="7" t="s">
        <v>150</v>
      </c>
      <c r="C101" s="7" t="s">
        <v>205</v>
      </c>
      <c r="D101" s="8" t="n">
        <v>1000000</v>
      </c>
      <c r="E101" s="8" t="n">
        <v>800000</v>
      </c>
      <c r="F101" s="9" t="n">
        <v>31200</v>
      </c>
      <c r="G101" s="9" t="n">
        <v>272309.52</v>
      </c>
      <c r="H101" s="9" t="n">
        <v>4.1</v>
      </c>
      <c r="I101" s="9" t="n">
        <v>19946.92856</v>
      </c>
      <c r="J101" s="7" t="s">
        <v>98</v>
      </c>
    </row>
    <row r="102" customFormat="false" ht="14.25" hidden="false" customHeight="true" outlineLevel="0" collapsed="false">
      <c r="A102" s="10" t="n">
        <v>2016</v>
      </c>
      <c r="B102" s="10" t="s">
        <v>150</v>
      </c>
      <c r="C102" s="10" t="s">
        <v>206</v>
      </c>
      <c r="D102" s="11" t="n">
        <v>1100000</v>
      </c>
      <c r="E102" s="11" t="n">
        <v>900000</v>
      </c>
      <c r="F102" s="12" t="n">
        <v>31000</v>
      </c>
      <c r="G102" s="12" t="n">
        <v>272309.52</v>
      </c>
      <c r="H102" s="12" t="n">
        <v>4.1</v>
      </c>
      <c r="I102" s="12" t="n">
        <v>19826.92856</v>
      </c>
      <c r="J102" s="10" t="s">
        <v>98</v>
      </c>
    </row>
    <row r="103" customFormat="false" ht="14.25" hidden="false" customHeight="true" outlineLevel="0" collapsed="false">
      <c r="A103" s="7" t="n">
        <v>2016</v>
      </c>
      <c r="B103" s="7" t="s">
        <v>150</v>
      </c>
      <c r="C103" s="7" t="s">
        <v>207</v>
      </c>
      <c r="D103" s="8" t="n">
        <v>1368196</v>
      </c>
      <c r="E103" s="8" t="n">
        <v>1283851</v>
      </c>
      <c r="F103" s="9" t="n">
        <v>31500</v>
      </c>
      <c r="G103" s="9" t="n">
        <v>272309.52</v>
      </c>
      <c r="H103" s="9" t="n">
        <v>4.1</v>
      </c>
      <c r="I103" s="9" t="n">
        <v>20126.92856</v>
      </c>
      <c r="J103" s="7" t="s">
        <v>98</v>
      </c>
    </row>
    <row r="104" customFormat="false" ht="14.25" hidden="false" customHeight="true" outlineLevel="0" collapsed="false">
      <c r="A104" s="10" t="n">
        <v>2016</v>
      </c>
      <c r="B104" s="10" t="s">
        <v>150</v>
      </c>
      <c r="C104" s="10" t="s">
        <v>208</v>
      </c>
      <c r="D104" s="11" t="n">
        <v>1200000</v>
      </c>
      <c r="E104" s="11" t="n">
        <v>800000</v>
      </c>
      <c r="F104" s="12" t="n">
        <v>30200</v>
      </c>
      <c r="G104" s="12" t="n">
        <v>272309.52</v>
      </c>
      <c r="H104" s="12" t="n">
        <v>4.1</v>
      </c>
      <c r="I104" s="12" t="n">
        <v>19346.92856</v>
      </c>
      <c r="J104" s="10" t="s">
        <v>98</v>
      </c>
    </row>
    <row r="105" customFormat="false" ht="14.25" hidden="false" customHeight="true" outlineLevel="0" collapsed="false">
      <c r="A105" s="7" t="n">
        <v>2016</v>
      </c>
      <c r="B105" s="7" t="s">
        <v>156</v>
      </c>
      <c r="C105" s="7" t="s">
        <v>209</v>
      </c>
      <c r="D105" s="8" t="n">
        <v>1100000</v>
      </c>
      <c r="E105" s="8" t="n">
        <v>700000</v>
      </c>
      <c r="F105" s="9" t="n">
        <v>30500</v>
      </c>
      <c r="G105" s="9" t="n">
        <v>286375</v>
      </c>
      <c r="H105" s="9" t="n">
        <v>4.2</v>
      </c>
      <c r="I105" s="9" t="n">
        <v>19579.125</v>
      </c>
      <c r="J105" s="7" t="s">
        <v>98</v>
      </c>
    </row>
    <row r="106" customFormat="false" ht="14.25" hidden="false" customHeight="true" outlineLevel="0" collapsed="false">
      <c r="A106" s="10" t="n">
        <v>2016</v>
      </c>
      <c r="B106" s="10" t="s">
        <v>156</v>
      </c>
      <c r="C106" s="10" t="s">
        <v>210</v>
      </c>
      <c r="D106" s="11" t="n">
        <v>1300000</v>
      </c>
      <c r="E106" s="11" t="n">
        <v>900000</v>
      </c>
      <c r="F106" s="12" t="n">
        <v>30300</v>
      </c>
      <c r="G106" s="12" t="n">
        <v>286375</v>
      </c>
      <c r="H106" s="12" t="n">
        <v>4.2</v>
      </c>
      <c r="I106" s="12" t="n">
        <v>19459.125</v>
      </c>
      <c r="J106" s="10" t="s">
        <v>98</v>
      </c>
    </row>
    <row r="107" customFormat="false" ht="14.25" hidden="false" customHeight="true" outlineLevel="0" collapsed="false">
      <c r="A107" s="7" t="n">
        <v>2016</v>
      </c>
      <c r="B107" s="7" t="s">
        <v>156</v>
      </c>
      <c r="C107" s="7" t="s">
        <v>211</v>
      </c>
      <c r="D107" s="8" t="n">
        <v>1688289</v>
      </c>
      <c r="E107" s="8" t="n">
        <v>1518295</v>
      </c>
      <c r="F107" s="9" t="n">
        <v>30400</v>
      </c>
      <c r="G107" s="9" t="n">
        <v>286375</v>
      </c>
      <c r="H107" s="9" t="n">
        <v>4.2</v>
      </c>
      <c r="I107" s="9" t="n">
        <v>19519.125</v>
      </c>
      <c r="J107" s="7" t="s">
        <v>98</v>
      </c>
    </row>
    <row r="108" customFormat="false" ht="14.25" hidden="false" customHeight="true" outlineLevel="0" collapsed="false">
      <c r="A108" s="10" t="n">
        <v>2016</v>
      </c>
      <c r="B108" s="10" t="s">
        <v>156</v>
      </c>
      <c r="C108" s="10" t="s">
        <v>212</v>
      </c>
      <c r="D108" s="11" t="n">
        <v>800000</v>
      </c>
      <c r="E108" s="11" t="n">
        <v>700000</v>
      </c>
      <c r="F108" s="12" t="n">
        <v>36200</v>
      </c>
      <c r="G108" s="12" t="n">
        <v>286375</v>
      </c>
      <c r="H108" s="12" t="n">
        <v>4.2</v>
      </c>
      <c r="I108" s="12" t="n">
        <v>22999.125</v>
      </c>
      <c r="J108" s="10" t="s">
        <v>98</v>
      </c>
    </row>
    <row r="109" customFormat="false" ht="14.25" hidden="false" customHeight="true" outlineLevel="0" collapsed="false">
      <c r="A109" s="7" t="n">
        <v>2017</v>
      </c>
      <c r="B109" s="7" t="s">
        <v>96</v>
      </c>
      <c r="C109" s="7" t="s">
        <v>213</v>
      </c>
      <c r="D109" s="8" t="n">
        <v>700000</v>
      </c>
      <c r="E109" s="8" t="n">
        <v>600000</v>
      </c>
      <c r="F109" s="9" t="n">
        <v>36400</v>
      </c>
      <c r="G109" s="9" t="n">
        <v>317380.95</v>
      </c>
      <c r="H109" s="9" t="n">
        <v>5.5</v>
      </c>
      <c r="I109" s="9" t="n">
        <v>23342.14285</v>
      </c>
      <c r="J109" s="7" t="s">
        <v>98</v>
      </c>
    </row>
    <row r="110" customFormat="false" ht="14.25" hidden="false" customHeight="true" outlineLevel="0" collapsed="false">
      <c r="A110" s="10" t="n">
        <v>2017</v>
      </c>
      <c r="B110" s="10" t="s">
        <v>96</v>
      </c>
      <c r="C110" s="10" t="s">
        <v>214</v>
      </c>
      <c r="D110" s="11" t="n">
        <v>900000</v>
      </c>
      <c r="E110" s="11" t="n">
        <v>800000</v>
      </c>
      <c r="F110" s="12" t="n">
        <v>36300</v>
      </c>
      <c r="G110" s="12" t="n">
        <v>317380.95</v>
      </c>
      <c r="H110" s="12" t="n">
        <v>5.5</v>
      </c>
      <c r="I110" s="12" t="n">
        <v>23282.14285</v>
      </c>
      <c r="J110" s="10" t="s">
        <v>98</v>
      </c>
    </row>
    <row r="111" customFormat="false" ht="14.25" hidden="false" customHeight="true" outlineLevel="0" collapsed="false">
      <c r="A111" s="7" t="n">
        <v>2017</v>
      </c>
      <c r="B111" s="7" t="s">
        <v>96</v>
      </c>
      <c r="C111" s="7" t="s">
        <v>215</v>
      </c>
      <c r="D111" s="8" t="n">
        <v>8243806</v>
      </c>
      <c r="E111" s="8" t="n">
        <v>992544</v>
      </c>
      <c r="F111" s="9" t="n">
        <v>36500</v>
      </c>
      <c r="G111" s="9" t="n">
        <v>317380.95</v>
      </c>
      <c r="H111" s="9" t="n">
        <v>5.5</v>
      </c>
      <c r="I111" s="9" t="n">
        <v>23402.14285</v>
      </c>
      <c r="J111" s="7" t="s">
        <v>98</v>
      </c>
    </row>
    <row r="112" customFormat="false" ht="14.25" hidden="false" customHeight="true" outlineLevel="0" collapsed="false">
      <c r="A112" s="10" t="n">
        <v>2017</v>
      </c>
      <c r="B112" s="10" t="s">
        <v>96</v>
      </c>
      <c r="C112" s="10" t="s">
        <v>216</v>
      </c>
      <c r="D112" s="11" t="n">
        <v>700000</v>
      </c>
      <c r="E112" s="11" t="n">
        <v>650000</v>
      </c>
      <c r="F112" s="12" t="n">
        <v>37200</v>
      </c>
      <c r="G112" s="12" t="n">
        <v>317380.95</v>
      </c>
      <c r="H112" s="12" t="n">
        <v>5.5</v>
      </c>
      <c r="I112" s="12" t="n">
        <v>23822.14285</v>
      </c>
      <c r="J112" s="10" t="s">
        <v>98</v>
      </c>
    </row>
    <row r="113" customFormat="false" ht="14.25" hidden="false" customHeight="true" outlineLevel="0" collapsed="false">
      <c r="A113" s="7" t="n">
        <v>2017</v>
      </c>
      <c r="B113" s="7" t="s">
        <v>96</v>
      </c>
      <c r="C113" s="7" t="s">
        <v>217</v>
      </c>
      <c r="D113" s="8" t="n">
        <v>650000</v>
      </c>
      <c r="E113" s="8" t="n">
        <v>600000</v>
      </c>
      <c r="F113" s="9" t="n">
        <v>37400</v>
      </c>
      <c r="G113" s="9" t="n">
        <v>317380.95</v>
      </c>
      <c r="H113" s="9" t="n">
        <v>5.5</v>
      </c>
      <c r="I113" s="9" t="n">
        <v>23942.14285</v>
      </c>
      <c r="J113" s="7" t="s">
        <v>98</v>
      </c>
    </row>
    <row r="114" customFormat="false" ht="14.25" hidden="false" customHeight="true" outlineLevel="0" collapsed="false">
      <c r="A114" s="10" t="n">
        <v>2017</v>
      </c>
      <c r="B114" s="10" t="s">
        <v>102</v>
      </c>
      <c r="C114" s="10" t="s">
        <v>218</v>
      </c>
      <c r="D114" s="11" t="n">
        <v>750000</v>
      </c>
      <c r="E114" s="11" t="n">
        <v>700000</v>
      </c>
      <c r="F114" s="12" t="n">
        <v>37300</v>
      </c>
      <c r="G114" s="12" t="n">
        <v>307500</v>
      </c>
      <c r="H114" s="12" t="n">
        <v>6</v>
      </c>
      <c r="I114" s="12" t="n">
        <v>23902.5</v>
      </c>
      <c r="J114" s="10" t="s">
        <v>98</v>
      </c>
    </row>
    <row r="115" customFormat="false" ht="14.25" hidden="false" customHeight="true" outlineLevel="0" collapsed="false">
      <c r="A115" s="7" t="n">
        <v>2017</v>
      </c>
      <c r="B115" s="7" t="s">
        <v>102</v>
      </c>
      <c r="C115" s="7" t="s">
        <v>219</v>
      </c>
      <c r="D115" s="8" t="n">
        <v>800000</v>
      </c>
      <c r="E115" s="8" t="n">
        <v>750000</v>
      </c>
      <c r="F115" s="9" t="n">
        <v>37500</v>
      </c>
      <c r="G115" s="9" t="n">
        <v>307500</v>
      </c>
      <c r="H115" s="9" t="n">
        <v>6</v>
      </c>
      <c r="I115" s="9" t="n">
        <v>24022.5</v>
      </c>
      <c r="J115" s="7" t="s">
        <v>98</v>
      </c>
    </row>
    <row r="116" customFormat="false" ht="14.25" hidden="false" customHeight="true" outlineLevel="0" collapsed="false">
      <c r="A116" s="10" t="n">
        <v>2017</v>
      </c>
      <c r="B116" s="10" t="s">
        <v>102</v>
      </c>
      <c r="C116" s="10" t="s">
        <v>220</v>
      </c>
      <c r="D116" s="11" t="n">
        <v>619546</v>
      </c>
      <c r="E116" s="11" t="n">
        <v>435112</v>
      </c>
      <c r="F116" s="12" t="n">
        <v>37600</v>
      </c>
      <c r="G116" s="12" t="n">
        <v>307500</v>
      </c>
      <c r="H116" s="12" t="n">
        <v>6</v>
      </c>
      <c r="I116" s="12" t="n">
        <v>24082.5</v>
      </c>
      <c r="J116" s="10" t="s">
        <v>98</v>
      </c>
    </row>
    <row r="117" customFormat="false" ht="14.25" hidden="false" customHeight="true" outlineLevel="0" collapsed="false">
      <c r="A117" s="7" t="n">
        <v>2017</v>
      </c>
      <c r="B117" s="7" t="s">
        <v>102</v>
      </c>
      <c r="C117" s="7" t="s">
        <v>221</v>
      </c>
      <c r="D117" s="8" t="n">
        <v>600000</v>
      </c>
      <c r="E117" s="8" t="n">
        <v>550000</v>
      </c>
      <c r="F117" s="9" t="n">
        <v>42100</v>
      </c>
      <c r="G117" s="9" t="n">
        <v>307500</v>
      </c>
      <c r="H117" s="9" t="n">
        <v>6</v>
      </c>
      <c r="I117" s="9" t="n">
        <v>26782.5</v>
      </c>
      <c r="J117" s="7" t="s">
        <v>98</v>
      </c>
    </row>
    <row r="118" customFormat="false" ht="14.25" hidden="false" customHeight="true" outlineLevel="0" collapsed="false">
      <c r="A118" s="10" t="n">
        <v>2017</v>
      </c>
      <c r="B118" s="10" t="s">
        <v>107</v>
      </c>
      <c r="C118" s="10" t="s">
        <v>222</v>
      </c>
      <c r="D118" s="11" t="n">
        <v>550000</v>
      </c>
      <c r="E118" s="11" t="n">
        <v>500000</v>
      </c>
      <c r="F118" s="12" t="n">
        <v>42400</v>
      </c>
      <c r="G118" s="12" t="n">
        <v>291521.73</v>
      </c>
      <c r="H118" s="12" t="n">
        <v>6.2</v>
      </c>
      <c r="I118" s="12" t="n">
        <v>26934.56519</v>
      </c>
      <c r="J118" s="10" t="s">
        <v>98</v>
      </c>
    </row>
    <row r="119" customFormat="false" ht="14.25" hidden="false" customHeight="true" outlineLevel="0" collapsed="false">
      <c r="A119" s="7" t="n">
        <v>2017</v>
      </c>
      <c r="B119" s="7" t="s">
        <v>107</v>
      </c>
      <c r="C119" s="7" t="s">
        <v>223</v>
      </c>
      <c r="D119" s="8" t="n">
        <v>650000</v>
      </c>
      <c r="E119" s="8" t="n">
        <v>600000</v>
      </c>
      <c r="F119" s="9" t="n">
        <v>42200</v>
      </c>
      <c r="G119" s="9" t="n">
        <v>291521.73</v>
      </c>
      <c r="H119" s="9" t="n">
        <v>6.2</v>
      </c>
      <c r="I119" s="9" t="n">
        <v>26814.56519</v>
      </c>
      <c r="J119" s="7" t="s">
        <v>98</v>
      </c>
    </row>
    <row r="120" customFormat="false" ht="14.25" hidden="false" customHeight="true" outlineLevel="0" collapsed="false">
      <c r="A120" s="10" t="n">
        <v>2017</v>
      </c>
      <c r="B120" s="10" t="s">
        <v>107</v>
      </c>
      <c r="C120" s="10" t="s">
        <v>224</v>
      </c>
      <c r="D120" s="11" t="n">
        <v>827582</v>
      </c>
      <c r="E120" s="11" t="n">
        <v>1044471</v>
      </c>
      <c r="F120" s="12" t="n">
        <v>42600</v>
      </c>
      <c r="G120" s="12" t="n">
        <v>291521.73</v>
      </c>
      <c r="H120" s="12" t="n">
        <v>6.2</v>
      </c>
      <c r="I120" s="12" t="n">
        <v>27054.56519</v>
      </c>
      <c r="J120" s="10" t="s">
        <v>98</v>
      </c>
    </row>
    <row r="121" customFormat="false" ht="14.25" hidden="false" customHeight="true" outlineLevel="0" collapsed="false">
      <c r="A121" s="7" t="n">
        <v>2017</v>
      </c>
      <c r="B121" s="7" t="s">
        <v>107</v>
      </c>
      <c r="C121" s="7" t="s">
        <v>225</v>
      </c>
      <c r="D121" s="8" t="n">
        <v>900000</v>
      </c>
      <c r="E121" s="8" t="n">
        <v>750000</v>
      </c>
      <c r="F121" s="9" t="n">
        <v>42800</v>
      </c>
      <c r="G121" s="9" t="n">
        <v>291521.73</v>
      </c>
      <c r="H121" s="9" t="n">
        <v>6.2</v>
      </c>
      <c r="I121" s="9" t="n">
        <v>27174.56519</v>
      </c>
      <c r="J121" s="7" t="s">
        <v>98</v>
      </c>
    </row>
    <row r="122" customFormat="false" ht="14.25" hidden="false" customHeight="true" outlineLevel="0" collapsed="false">
      <c r="A122" s="10" t="n">
        <v>2017</v>
      </c>
      <c r="B122" s="10" t="s">
        <v>113</v>
      </c>
      <c r="C122" s="10" t="s">
        <v>226</v>
      </c>
      <c r="D122" s="11" t="n">
        <v>850000</v>
      </c>
      <c r="E122" s="11" t="n">
        <v>700000</v>
      </c>
      <c r="F122" s="12" t="n">
        <v>43000</v>
      </c>
      <c r="G122" s="12" t="n">
        <v>282916</v>
      </c>
      <c r="H122" s="12" t="n">
        <v>6.4</v>
      </c>
      <c r="I122" s="12" t="n">
        <v>27288.748</v>
      </c>
      <c r="J122" s="10" t="s">
        <v>98</v>
      </c>
    </row>
    <row r="123" customFormat="false" ht="14.25" hidden="false" customHeight="true" outlineLevel="0" collapsed="false">
      <c r="A123" s="7" t="n">
        <v>2017</v>
      </c>
      <c r="B123" s="7" t="s">
        <v>113</v>
      </c>
      <c r="C123" s="7" t="s">
        <v>227</v>
      </c>
      <c r="D123" s="8" t="n">
        <v>950000</v>
      </c>
      <c r="E123" s="8" t="n">
        <v>800000</v>
      </c>
      <c r="F123" s="9" t="n">
        <v>42900</v>
      </c>
      <c r="G123" s="9" t="n">
        <v>282916</v>
      </c>
      <c r="H123" s="9" t="n">
        <v>6.4</v>
      </c>
      <c r="I123" s="9" t="n">
        <v>27228.748</v>
      </c>
      <c r="J123" s="7" t="s">
        <v>98</v>
      </c>
    </row>
    <row r="124" customFormat="false" ht="14.25" hidden="false" customHeight="true" outlineLevel="0" collapsed="false">
      <c r="A124" s="10" t="n">
        <v>2017</v>
      </c>
      <c r="B124" s="10" t="s">
        <v>113</v>
      </c>
      <c r="C124" s="10" t="s">
        <v>228</v>
      </c>
      <c r="D124" s="11" t="n">
        <v>1000000</v>
      </c>
      <c r="E124" s="11" t="n">
        <v>850000</v>
      </c>
      <c r="F124" s="12" t="n">
        <v>43100</v>
      </c>
      <c r="G124" s="12" t="n">
        <v>282916</v>
      </c>
      <c r="H124" s="12" t="n">
        <v>6.4</v>
      </c>
      <c r="I124" s="12" t="n">
        <v>27348.748</v>
      </c>
      <c r="J124" s="10" t="s">
        <v>98</v>
      </c>
    </row>
    <row r="125" customFormat="false" ht="14.25" hidden="false" customHeight="true" outlineLevel="0" collapsed="false">
      <c r="A125" s="7" t="n">
        <v>2017</v>
      </c>
      <c r="B125" s="7" t="s">
        <v>113</v>
      </c>
      <c r="C125" s="7" t="s">
        <v>229</v>
      </c>
      <c r="D125" s="8" t="n">
        <v>787145</v>
      </c>
      <c r="E125" s="8" t="n">
        <v>1003498</v>
      </c>
      <c r="F125" s="9" t="n">
        <v>43200</v>
      </c>
      <c r="G125" s="9" t="n">
        <v>282916</v>
      </c>
      <c r="H125" s="9" t="n">
        <v>6.4</v>
      </c>
      <c r="I125" s="9" t="n">
        <v>27408.748</v>
      </c>
      <c r="J125" s="7" t="s">
        <v>98</v>
      </c>
    </row>
    <row r="126" customFormat="false" ht="14.25" hidden="false" customHeight="true" outlineLevel="0" collapsed="false">
      <c r="A126" s="10" t="n">
        <v>2017</v>
      </c>
      <c r="B126" s="10" t="s">
        <v>118</v>
      </c>
      <c r="C126" s="10" t="s">
        <v>230</v>
      </c>
      <c r="D126" s="11" t="n">
        <v>600000</v>
      </c>
      <c r="E126" s="11" t="n">
        <v>500000</v>
      </c>
      <c r="F126" s="12" t="n">
        <v>44900</v>
      </c>
      <c r="G126" s="12" t="n">
        <v>260000</v>
      </c>
      <c r="H126" s="12" t="n">
        <v>6.7</v>
      </c>
      <c r="I126" s="12" t="n">
        <v>28390</v>
      </c>
      <c r="J126" s="10" t="s">
        <v>98</v>
      </c>
    </row>
    <row r="127" customFormat="false" ht="14.25" hidden="false" customHeight="true" outlineLevel="0" collapsed="false">
      <c r="A127" s="7" t="n">
        <v>2017</v>
      </c>
      <c r="B127" s="7" t="s">
        <v>118</v>
      </c>
      <c r="C127" s="7" t="s">
        <v>231</v>
      </c>
      <c r="D127" s="8" t="n">
        <v>550000</v>
      </c>
      <c r="E127" s="8" t="n">
        <v>450000</v>
      </c>
      <c r="F127" s="9" t="n">
        <v>45200</v>
      </c>
      <c r="G127" s="9" t="n">
        <v>260000</v>
      </c>
      <c r="H127" s="9" t="n">
        <v>6.7</v>
      </c>
      <c r="I127" s="9" t="n">
        <v>28570</v>
      </c>
      <c r="J127" s="7" t="s">
        <v>98</v>
      </c>
    </row>
    <row r="128" customFormat="false" ht="14.25" hidden="false" customHeight="true" outlineLevel="0" collapsed="false">
      <c r="A128" s="10" t="n">
        <v>2017</v>
      </c>
      <c r="B128" s="10" t="s">
        <v>118</v>
      </c>
      <c r="C128" s="10" t="s">
        <v>232</v>
      </c>
      <c r="D128" s="11" t="n">
        <v>650000</v>
      </c>
      <c r="E128" s="11" t="n">
        <v>550000</v>
      </c>
      <c r="F128" s="12" t="n">
        <v>45000</v>
      </c>
      <c r="G128" s="12" t="n">
        <v>260000</v>
      </c>
      <c r="H128" s="12" t="n">
        <v>6.7</v>
      </c>
      <c r="I128" s="12" t="n">
        <v>28450</v>
      </c>
      <c r="J128" s="10" t="s">
        <v>98</v>
      </c>
    </row>
    <row r="129" customFormat="false" ht="14.25" hidden="false" customHeight="true" outlineLevel="0" collapsed="false">
      <c r="A129" s="7" t="n">
        <v>2017</v>
      </c>
      <c r="B129" s="7" t="s">
        <v>118</v>
      </c>
      <c r="C129" s="7" t="s">
        <v>233</v>
      </c>
      <c r="D129" s="8" t="n">
        <v>562022</v>
      </c>
      <c r="E129" s="8" t="n">
        <v>835866</v>
      </c>
      <c r="F129" s="9" t="n">
        <v>45400</v>
      </c>
      <c r="G129" s="9" t="n">
        <v>260000</v>
      </c>
      <c r="H129" s="9" t="n">
        <v>6.7</v>
      </c>
      <c r="I129" s="9" t="n">
        <v>28690</v>
      </c>
      <c r="J129" s="7" t="s">
        <v>98</v>
      </c>
    </row>
    <row r="130" customFormat="false" ht="14.25" hidden="false" customHeight="true" outlineLevel="0" collapsed="false">
      <c r="A130" s="10" t="n">
        <v>2017</v>
      </c>
      <c r="B130" s="10" t="s">
        <v>118</v>
      </c>
      <c r="C130" s="10" t="s">
        <v>234</v>
      </c>
      <c r="D130" s="11" t="n">
        <v>800000</v>
      </c>
      <c r="E130" s="11" t="n">
        <v>600000</v>
      </c>
      <c r="F130" s="12" t="n">
        <v>44300</v>
      </c>
      <c r="G130" s="12" t="n">
        <v>260000</v>
      </c>
      <c r="H130" s="12" t="n">
        <v>6.7</v>
      </c>
      <c r="I130" s="12" t="n">
        <v>28030</v>
      </c>
      <c r="J130" s="10" t="s">
        <v>98</v>
      </c>
    </row>
    <row r="131" customFormat="false" ht="14.25" hidden="false" customHeight="true" outlineLevel="0" collapsed="false">
      <c r="A131" s="7" t="n">
        <v>2017</v>
      </c>
      <c r="B131" s="7" t="s">
        <v>123</v>
      </c>
      <c r="C131" s="7" t="s">
        <v>235</v>
      </c>
      <c r="D131" s="8" t="n">
        <v>750000</v>
      </c>
      <c r="E131" s="8" t="n">
        <v>550000</v>
      </c>
      <c r="F131" s="9" t="n">
        <v>44500</v>
      </c>
      <c r="G131" s="9" t="n">
        <v>271125</v>
      </c>
      <c r="H131" s="9" t="n">
        <v>6.8</v>
      </c>
      <c r="I131" s="9" t="n">
        <v>28193.375</v>
      </c>
      <c r="J131" s="7" t="s">
        <v>98</v>
      </c>
    </row>
    <row r="132" customFormat="false" ht="14.25" hidden="false" customHeight="true" outlineLevel="0" collapsed="false">
      <c r="A132" s="10" t="n">
        <v>2017</v>
      </c>
      <c r="B132" s="10" t="s">
        <v>123</v>
      </c>
      <c r="C132" s="10" t="s">
        <v>236</v>
      </c>
      <c r="D132" s="11" t="n">
        <v>850000</v>
      </c>
      <c r="E132" s="11" t="n">
        <v>650000</v>
      </c>
      <c r="F132" s="12" t="n">
        <v>44400</v>
      </c>
      <c r="G132" s="12" t="n">
        <v>271125</v>
      </c>
      <c r="H132" s="12" t="n">
        <v>6.8</v>
      </c>
      <c r="I132" s="12" t="n">
        <v>28133.375</v>
      </c>
      <c r="J132" s="10" t="s">
        <v>98</v>
      </c>
    </row>
    <row r="133" customFormat="false" ht="14.25" hidden="false" customHeight="true" outlineLevel="0" collapsed="false">
      <c r="A133" s="7" t="n">
        <v>2017</v>
      </c>
      <c r="B133" s="7" t="s">
        <v>123</v>
      </c>
      <c r="C133" s="7" t="s">
        <v>237</v>
      </c>
      <c r="D133" s="8" t="n">
        <v>900000</v>
      </c>
      <c r="E133" s="8" t="n">
        <v>700000</v>
      </c>
      <c r="F133" s="9" t="n">
        <v>44600</v>
      </c>
      <c r="G133" s="9" t="n">
        <v>271125</v>
      </c>
      <c r="H133" s="9" t="n">
        <v>6.8</v>
      </c>
      <c r="I133" s="9" t="n">
        <v>28253.375</v>
      </c>
      <c r="J133" s="7" t="s">
        <v>98</v>
      </c>
    </row>
    <row r="134" customFormat="false" ht="14.25" hidden="false" customHeight="true" outlineLevel="0" collapsed="false">
      <c r="A134" s="10" t="n">
        <v>2017</v>
      </c>
      <c r="B134" s="10" t="s">
        <v>123</v>
      </c>
      <c r="C134" s="10" t="s">
        <v>238</v>
      </c>
      <c r="D134" s="11" t="n">
        <v>743307</v>
      </c>
      <c r="E134" s="11" t="n">
        <v>643909</v>
      </c>
      <c r="F134" s="12" t="n">
        <v>44700</v>
      </c>
      <c r="G134" s="12" t="n">
        <v>271125</v>
      </c>
      <c r="H134" s="12" t="n">
        <v>6.8</v>
      </c>
      <c r="I134" s="12" t="n">
        <v>28313.375</v>
      </c>
      <c r="J134" s="10" t="s">
        <v>98</v>
      </c>
    </row>
    <row r="135" customFormat="false" ht="14.25" hidden="false" customHeight="true" outlineLevel="0" collapsed="false">
      <c r="A135" s="7" t="n">
        <v>2017</v>
      </c>
      <c r="B135" s="7" t="s">
        <v>129</v>
      </c>
      <c r="C135" s="7" t="s">
        <v>239</v>
      </c>
      <c r="D135" s="8" t="n">
        <v>1500000</v>
      </c>
      <c r="E135" s="8" t="n">
        <v>800000</v>
      </c>
      <c r="F135" s="9" t="n">
        <v>38500</v>
      </c>
      <c r="G135" s="9" t="n">
        <v>265285.71</v>
      </c>
      <c r="H135" s="9" t="n">
        <v>7</v>
      </c>
      <c r="I135" s="9" t="n">
        <v>24595.85713</v>
      </c>
      <c r="J135" s="7" t="s">
        <v>98</v>
      </c>
    </row>
    <row r="136" customFormat="false" ht="14.25" hidden="false" customHeight="true" outlineLevel="0" collapsed="false">
      <c r="A136" s="10" t="n">
        <v>2017</v>
      </c>
      <c r="B136" s="10" t="s">
        <v>129</v>
      </c>
      <c r="C136" s="10" t="s">
        <v>240</v>
      </c>
      <c r="D136" s="11" t="n">
        <v>1400000</v>
      </c>
      <c r="E136" s="11" t="n">
        <v>700000</v>
      </c>
      <c r="F136" s="12" t="n">
        <v>38700</v>
      </c>
      <c r="G136" s="12" t="n">
        <v>265285.71</v>
      </c>
      <c r="H136" s="12" t="n">
        <v>7</v>
      </c>
      <c r="I136" s="12" t="n">
        <v>24715.85713</v>
      </c>
      <c r="J136" s="10" t="s">
        <v>98</v>
      </c>
    </row>
    <row r="137" customFormat="false" ht="14.25" hidden="false" customHeight="true" outlineLevel="0" collapsed="false">
      <c r="A137" s="7" t="n">
        <v>2017</v>
      </c>
      <c r="B137" s="7" t="s">
        <v>129</v>
      </c>
      <c r="C137" s="7" t="s">
        <v>241</v>
      </c>
      <c r="D137" s="8" t="n">
        <v>1600000</v>
      </c>
      <c r="E137" s="8" t="n">
        <v>900000</v>
      </c>
      <c r="F137" s="9" t="n">
        <v>38600</v>
      </c>
      <c r="G137" s="9" t="n">
        <v>265285.71</v>
      </c>
      <c r="H137" s="9" t="n">
        <v>7</v>
      </c>
      <c r="I137" s="9" t="n">
        <v>24655.85713</v>
      </c>
      <c r="J137" s="7" t="s">
        <v>98</v>
      </c>
    </row>
    <row r="138" customFormat="false" ht="14.25" hidden="false" customHeight="true" outlineLevel="0" collapsed="false">
      <c r="A138" s="10" t="n">
        <v>2017</v>
      </c>
      <c r="B138" s="10" t="s">
        <v>129</v>
      </c>
      <c r="C138" s="10" t="s">
        <v>242</v>
      </c>
      <c r="D138" s="11" t="n">
        <v>1800000</v>
      </c>
      <c r="E138" s="11" t="n">
        <v>1000000</v>
      </c>
      <c r="F138" s="12" t="n">
        <v>38800</v>
      </c>
      <c r="G138" s="12" t="n">
        <v>265285.71</v>
      </c>
      <c r="H138" s="12" t="n">
        <v>7</v>
      </c>
      <c r="I138" s="12" t="n">
        <v>24775.85713</v>
      </c>
      <c r="J138" s="10" t="s">
        <v>98</v>
      </c>
    </row>
    <row r="139" customFormat="false" ht="14.25" hidden="false" customHeight="true" outlineLevel="0" collapsed="false">
      <c r="A139" s="7" t="n">
        <v>2017</v>
      </c>
      <c r="B139" s="7" t="s">
        <v>129</v>
      </c>
      <c r="C139" s="7" t="s">
        <v>243</v>
      </c>
      <c r="D139" s="8" t="n">
        <v>1833072</v>
      </c>
      <c r="E139" s="8" t="n">
        <v>1303073</v>
      </c>
      <c r="F139" s="9" t="n">
        <v>38900</v>
      </c>
      <c r="G139" s="9" t="n">
        <v>265285.71</v>
      </c>
      <c r="H139" s="9" t="n">
        <v>7</v>
      </c>
      <c r="I139" s="9" t="n">
        <v>24835.85713</v>
      </c>
      <c r="J139" s="7" t="s">
        <v>98</v>
      </c>
    </row>
    <row r="140" customFormat="false" ht="14.25" hidden="false" customHeight="true" outlineLevel="0" collapsed="false">
      <c r="A140" s="10" t="n">
        <v>2017</v>
      </c>
      <c r="B140" s="10" t="s">
        <v>134</v>
      </c>
      <c r="C140" s="10" t="s">
        <v>244</v>
      </c>
      <c r="D140" s="11" t="n">
        <v>700000</v>
      </c>
      <c r="E140" s="11" t="n">
        <v>600000</v>
      </c>
      <c r="F140" s="12" t="n">
        <v>42700</v>
      </c>
      <c r="G140" s="12" t="n">
        <v>267500</v>
      </c>
      <c r="H140" s="12" t="n">
        <v>7.2</v>
      </c>
      <c r="I140" s="12" t="n">
        <v>27142.5</v>
      </c>
      <c r="J140" s="10" t="s">
        <v>98</v>
      </c>
    </row>
    <row r="141" customFormat="false" ht="14.25" hidden="false" customHeight="true" outlineLevel="0" collapsed="false">
      <c r="A141" s="7" t="n">
        <v>2017</v>
      </c>
      <c r="B141" s="7" t="s">
        <v>134</v>
      </c>
      <c r="C141" s="7" t="s">
        <v>245</v>
      </c>
      <c r="D141" s="8" t="n">
        <v>650000</v>
      </c>
      <c r="E141" s="8" t="n">
        <v>550000</v>
      </c>
      <c r="F141" s="9" t="n">
        <v>42900</v>
      </c>
      <c r="G141" s="9" t="n">
        <v>267500</v>
      </c>
      <c r="H141" s="9" t="n">
        <v>7.2</v>
      </c>
      <c r="I141" s="9" t="n">
        <v>27262.5</v>
      </c>
      <c r="J141" s="7" t="s">
        <v>98</v>
      </c>
    </row>
    <row r="142" customFormat="false" ht="14.25" hidden="false" customHeight="true" outlineLevel="0" collapsed="false">
      <c r="A142" s="10" t="n">
        <v>2017</v>
      </c>
      <c r="B142" s="10" t="s">
        <v>134</v>
      </c>
      <c r="C142" s="10" t="s">
        <v>246</v>
      </c>
      <c r="D142" s="11" t="n">
        <v>750000</v>
      </c>
      <c r="E142" s="11" t="n">
        <v>650000</v>
      </c>
      <c r="F142" s="12" t="n">
        <v>42800</v>
      </c>
      <c r="G142" s="12" t="n">
        <v>267500</v>
      </c>
      <c r="H142" s="12" t="n">
        <v>7.2</v>
      </c>
      <c r="I142" s="12" t="n">
        <v>27202.5</v>
      </c>
      <c r="J142" s="10" t="s">
        <v>98</v>
      </c>
    </row>
    <row r="143" customFormat="false" ht="14.25" hidden="false" customHeight="true" outlineLevel="0" collapsed="false">
      <c r="A143" s="7" t="n">
        <v>2017</v>
      </c>
      <c r="B143" s="7" t="s">
        <v>134</v>
      </c>
      <c r="C143" s="7" t="s">
        <v>247</v>
      </c>
      <c r="D143" s="8" t="n">
        <v>828380</v>
      </c>
      <c r="E143" s="8" t="n">
        <v>865273</v>
      </c>
      <c r="F143" s="9" t="n">
        <v>43000</v>
      </c>
      <c r="G143" s="9" t="n">
        <v>267500</v>
      </c>
      <c r="H143" s="9" t="n">
        <v>7.2</v>
      </c>
      <c r="I143" s="9" t="n">
        <v>27322.5</v>
      </c>
      <c r="J143" s="7" t="s">
        <v>98</v>
      </c>
    </row>
    <row r="144" customFormat="false" ht="14.25" hidden="false" customHeight="true" outlineLevel="0" collapsed="false">
      <c r="A144" s="10" t="n">
        <v>2017</v>
      </c>
      <c r="B144" s="10" t="s">
        <v>140</v>
      </c>
      <c r="C144" s="10" t="s">
        <v>248</v>
      </c>
      <c r="D144" s="11" t="n">
        <v>1000000</v>
      </c>
      <c r="E144" s="11" t="n">
        <v>700000</v>
      </c>
      <c r="F144" s="12" t="n">
        <v>48600</v>
      </c>
      <c r="G144" s="12" t="n">
        <v>268947</v>
      </c>
      <c r="H144" s="12" t="n">
        <v>7.6</v>
      </c>
      <c r="I144" s="12" t="n">
        <v>30726.841</v>
      </c>
      <c r="J144" s="10" t="s">
        <v>98</v>
      </c>
    </row>
    <row r="145" customFormat="false" ht="14.25" hidden="false" customHeight="true" outlineLevel="0" collapsed="false">
      <c r="A145" s="7" t="n">
        <v>2017</v>
      </c>
      <c r="B145" s="7" t="s">
        <v>140</v>
      </c>
      <c r="C145" s="7" t="s">
        <v>249</v>
      </c>
      <c r="D145" s="8" t="n">
        <v>950000</v>
      </c>
      <c r="E145" s="8" t="n">
        <v>650000</v>
      </c>
      <c r="F145" s="9" t="n">
        <v>48800</v>
      </c>
      <c r="G145" s="9" t="n">
        <v>268947</v>
      </c>
      <c r="H145" s="9" t="n">
        <v>7.6</v>
      </c>
      <c r="I145" s="9" t="n">
        <v>30846.841</v>
      </c>
      <c r="J145" s="7" t="s">
        <v>98</v>
      </c>
    </row>
    <row r="146" customFormat="false" ht="14.25" hidden="false" customHeight="true" outlineLevel="0" collapsed="false">
      <c r="A146" s="10" t="n">
        <v>2017</v>
      </c>
      <c r="B146" s="10" t="s">
        <v>140</v>
      </c>
      <c r="C146" s="10" t="s">
        <v>250</v>
      </c>
      <c r="D146" s="11" t="n">
        <v>1100000</v>
      </c>
      <c r="E146" s="11" t="n">
        <v>800000</v>
      </c>
      <c r="F146" s="12" t="n">
        <v>48700</v>
      </c>
      <c r="G146" s="12" t="n">
        <v>268947</v>
      </c>
      <c r="H146" s="12" t="n">
        <v>7.6</v>
      </c>
      <c r="I146" s="12" t="n">
        <v>30786.841</v>
      </c>
      <c r="J146" s="10" t="s">
        <v>98</v>
      </c>
    </row>
    <row r="147" customFormat="false" ht="14.25" hidden="false" customHeight="true" outlineLevel="0" collapsed="false">
      <c r="A147" s="7" t="n">
        <v>2017</v>
      </c>
      <c r="B147" s="7" t="s">
        <v>140</v>
      </c>
      <c r="C147" s="7" t="s">
        <v>251</v>
      </c>
      <c r="D147" s="8" t="n">
        <v>1200000</v>
      </c>
      <c r="E147" s="8" t="n">
        <v>900000</v>
      </c>
      <c r="F147" s="9" t="n">
        <v>48900</v>
      </c>
      <c r="G147" s="9" t="n">
        <v>268947</v>
      </c>
      <c r="H147" s="9" t="n">
        <v>7.6</v>
      </c>
      <c r="I147" s="9" t="n">
        <v>30906.841</v>
      </c>
      <c r="J147" s="7" t="s">
        <v>98</v>
      </c>
    </row>
    <row r="148" customFormat="false" ht="14.25" hidden="false" customHeight="true" outlineLevel="0" collapsed="false">
      <c r="A148" s="10" t="n">
        <v>2017</v>
      </c>
      <c r="B148" s="10" t="s">
        <v>145</v>
      </c>
      <c r="C148" s="10" t="s">
        <v>252</v>
      </c>
      <c r="D148" s="11" t="n">
        <v>961731</v>
      </c>
      <c r="E148" s="11" t="n">
        <v>664758</v>
      </c>
      <c r="F148" s="12" t="n">
        <v>49000</v>
      </c>
      <c r="G148" s="12" t="n">
        <v>265375</v>
      </c>
      <c r="H148" s="12" t="n">
        <v>7.8</v>
      </c>
      <c r="I148" s="12" t="n">
        <v>30976.125</v>
      </c>
      <c r="J148" s="10" t="s">
        <v>98</v>
      </c>
    </row>
    <row r="149" customFormat="false" ht="14.25" hidden="false" customHeight="true" outlineLevel="0" collapsed="false">
      <c r="A149" s="7" t="n">
        <v>2017</v>
      </c>
      <c r="B149" s="7" t="s">
        <v>145</v>
      </c>
      <c r="C149" s="7" t="s">
        <v>253</v>
      </c>
      <c r="D149" s="8" t="n">
        <v>700000</v>
      </c>
      <c r="E149" s="8" t="n">
        <v>500000</v>
      </c>
      <c r="F149" s="9" t="n">
        <v>52200</v>
      </c>
      <c r="G149" s="9" t="n">
        <v>265375</v>
      </c>
      <c r="H149" s="9" t="n">
        <v>7.8</v>
      </c>
      <c r="I149" s="9" t="n">
        <v>32896.125</v>
      </c>
      <c r="J149" s="7" t="s">
        <v>98</v>
      </c>
    </row>
    <row r="150" customFormat="false" ht="14.25" hidden="false" customHeight="true" outlineLevel="0" collapsed="false">
      <c r="A150" s="10" t="n">
        <v>2017</v>
      </c>
      <c r="B150" s="10" t="s">
        <v>145</v>
      </c>
      <c r="C150" s="10" t="s">
        <v>254</v>
      </c>
      <c r="D150" s="11" t="n">
        <v>650000</v>
      </c>
      <c r="E150" s="11" t="n">
        <v>450000</v>
      </c>
      <c r="F150" s="12" t="n">
        <v>52400</v>
      </c>
      <c r="G150" s="12" t="n">
        <v>265375</v>
      </c>
      <c r="H150" s="12" t="n">
        <v>7.8</v>
      </c>
      <c r="I150" s="12" t="n">
        <v>33016.125</v>
      </c>
      <c r="J150" s="10" t="s">
        <v>98</v>
      </c>
    </row>
    <row r="151" customFormat="false" ht="14.25" hidden="false" customHeight="true" outlineLevel="0" collapsed="false">
      <c r="A151" s="7" t="n">
        <v>2017</v>
      </c>
      <c r="B151" s="7" t="s">
        <v>145</v>
      </c>
      <c r="C151" s="7" t="s">
        <v>255</v>
      </c>
      <c r="D151" s="8" t="n">
        <v>750000</v>
      </c>
      <c r="E151" s="8" t="n">
        <v>550000</v>
      </c>
      <c r="F151" s="9" t="n">
        <v>52300</v>
      </c>
      <c r="G151" s="9" t="n">
        <v>265375</v>
      </c>
      <c r="H151" s="9" t="n">
        <v>7.8</v>
      </c>
      <c r="I151" s="9" t="n">
        <v>32956.125</v>
      </c>
      <c r="J151" s="7" t="s">
        <v>98</v>
      </c>
    </row>
    <row r="152" customFormat="false" ht="14.25" hidden="false" customHeight="true" outlineLevel="0" collapsed="false">
      <c r="A152" s="10" t="n">
        <v>2017</v>
      </c>
      <c r="B152" s="10" t="s">
        <v>145</v>
      </c>
      <c r="C152" s="10" t="s">
        <v>256</v>
      </c>
      <c r="D152" s="11" t="n">
        <v>834404</v>
      </c>
      <c r="E152" s="11" t="n">
        <v>536367</v>
      </c>
      <c r="F152" s="12" t="n">
        <v>52500</v>
      </c>
      <c r="G152" s="12" t="n">
        <v>265375</v>
      </c>
      <c r="H152" s="12" t="n">
        <v>7.8</v>
      </c>
      <c r="I152" s="12" t="n">
        <v>33076.125</v>
      </c>
      <c r="J152" s="10" t="s">
        <v>98</v>
      </c>
    </row>
    <row r="153" customFormat="false" ht="14.25" hidden="false" customHeight="true" outlineLevel="0" collapsed="false">
      <c r="A153" s="7" t="n">
        <v>2017</v>
      </c>
      <c r="B153" s="7" t="s">
        <v>150</v>
      </c>
      <c r="C153" s="7" t="s">
        <v>257</v>
      </c>
      <c r="D153" s="8" t="n">
        <v>500000</v>
      </c>
      <c r="E153" s="8" t="n">
        <v>350000</v>
      </c>
      <c r="F153" s="9" t="n">
        <v>53200</v>
      </c>
      <c r="G153" s="9" t="n">
        <v>256857</v>
      </c>
      <c r="H153" s="9" t="n">
        <v>8.4</v>
      </c>
      <c r="I153" s="9" t="n">
        <v>33530.571</v>
      </c>
      <c r="J153" s="7" t="s">
        <v>98</v>
      </c>
    </row>
    <row r="154" customFormat="false" ht="14.25" hidden="false" customHeight="true" outlineLevel="0" collapsed="false">
      <c r="A154" s="10" t="n">
        <v>2017</v>
      </c>
      <c r="B154" s="10" t="s">
        <v>150</v>
      </c>
      <c r="C154" s="10" t="s">
        <v>258</v>
      </c>
      <c r="D154" s="11" t="n">
        <v>450000</v>
      </c>
      <c r="E154" s="11" t="n">
        <v>300000</v>
      </c>
      <c r="F154" s="12" t="n">
        <v>53400</v>
      </c>
      <c r="G154" s="12" t="n">
        <v>256857</v>
      </c>
      <c r="H154" s="12" t="n">
        <v>8.4</v>
      </c>
      <c r="I154" s="12" t="n">
        <v>33650.571</v>
      </c>
      <c r="J154" s="10" t="s">
        <v>98</v>
      </c>
    </row>
    <row r="155" customFormat="false" ht="14.25" hidden="false" customHeight="true" outlineLevel="0" collapsed="false">
      <c r="A155" s="7" t="n">
        <v>2017</v>
      </c>
      <c r="B155" s="7" t="s">
        <v>150</v>
      </c>
      <c r="C155" s="7" t="s">
        <v>259</v>
      </c>
      <c r="D155" s="8" t="n">
        <v>550000</v>
      </c>
      <c r="E155" s="8" t="n">
        <v>400000</v>
      </c>
      <c r="F155" s="9" t="n">
        <v>53300</v>
      </c>
      <c r="G155" s="9" t="n">
        <v>256857</v>
      </c>
      <c r="H155" s="9" t="n">
        <v>8.4</v>
      </c>
      <c r="I155" s="9" t="n">
        <v>33590.571</v>
      </c>
      <c r="J155" s="7" t="s">
        <v>98</v>
      </c>
    </row>
    <row r="156" customFormat="false" ht="14.25" hidden="false" customHeight="true" outlineLevel="0" collapsed="false">
      <c r="A156" s="10" t="n">
        <v>2017</v>
      </c>
      <c r="B156" s="10" t="s">
        <v>150</v>
      </c>
      <c r="C156" s="10" t="s">
        <v>260</v>
      </c>
      <c r="D156" s="11" t="n">
        <v>428798</v>
      </c>
      <c r="E156" s="11" t="n">
        <v>515673</v>
      </c>
      <c r="F156" s="12" t="n">
        <v>53500</v>
      </c>
      <c r="G156" s="12" t="n">
        <v>256857</v>
      </c>
      <c r="H156" s="12" t="n">
        <v>8.4</v>
      </c>
      <c r="I156" s="12" t="n">
        <v>33710.571</v>
      </c>
      <c r="J156" s="10" t="s">
        <v>98</v>
      </c>
    </row>
    <row r="157" customFormat="false" ht="14.25" hidden="false" customHeight="true" outlineLevel="0" collapsed="false">
      <c r="A157" s="7" t="n">
        <v>2017</v>
      </c>
      <c r="B157" s="7" t="s">
        <v>156</v>
      </c>
      <c r="C157" s="7" t="s">
        <v>261</v>
      </c>
      <c r="D157" s="8" t="n">
        <v>400000</v>
      </c>
      <c r="E157" s="8" t="n">
        <v>250000</v>
      </c>
      <c r="F157" s="9" t="n">
        <v>67700</v>
      </c>
      <c r="G157" s="9" t="n">
        <v>252631.57</v>
      </c>
      <c r="H157" s="9" t="n">
        <v>8.8</v>
      </c>
      <c r="I157" s="9" t="n">
        <v>42257.89471</v>
      </c>
      <c r="J157" s="7" t="s">
        <v>98</v>
      </c>
    </row>
    <row r="158" customFormat="false" ht="14.25" hidden="false" customHeight="true" outlineLevel="0" collapsed="false">
      <c r="A158" s="10" t="n">
        <v>2017</v>
      </c>
      <c r="B158" s="10" t="s">
        <v>156</v>
      </c>
      <c r="C158" s="10" t="s">
        <v>262</v>
      </c>
      <c r="D158" s="11" t="n">
        <v>350000</v>
      </c>
      <c r="E158" s="11" t="n">
        <v>200000</v>
      </c>
      <c r="F158" s="12" t="n">
        <v>67900</v>
      </c>
      <c r="G158" s="12" t="n">
        <v>252631.57</v>
      </c>
      <c r="H158" s="12" t="n">
        <v>8.8</v>
      </c>
      <c r="I158" s="12" t="n">
        <v>42377.89471</v>
      </c>
      <c r="J158" s="10" t="s">
        <v>98</v>
      </c>
    </row>
    <row r="159" customFormat="false" ht="14.25" hidden="false" customHeight="true" outlineLevel="0" collapsed="false">
      <c r="A159" s="7" t="n">
        <v>2017</v>
      </c>
      <c r="B159" s="7" t="s">
        <v>156</v>
      </c>
      <c r="C159" s="7" t="s">
        <v>263</v>
      </c>
      <c r="D159" s="8" t="n">
        <v>450000</v>
      </c>
      <c r="E159" s="8" t="n">
        <v>300000</v>
      </c>
      <c r="F159" s="9" t="n">
        <v>67800</v>
      </c>
      <c r="G159" s="9" t="n">
        <v>252631.57</v>
      </c>
      <c r="H159" s="9" t="n">
        <v>8.8</v>
      </c>
      <c r="I159" s="9" t="n">
        <v>42317.89471</v>
      </c>
      <c r="J159" s="7" t="s">
        <v>98</v>
      </c>
    </row>
    <row r="160" customFormat="false" ht="14.25" hidden="false" customHeight="true" outlineLevel="0" collapsed="false">
      <c r="A160" s="10" t="n">
        <v>2017</v>
      </c>
      <c r="B160" s="10" t="s">
        <v>156</v>
      </c>
      <c r="C160" s="10" t="s">
        <v>264</v>
      </c>
      <c r="D160" s="11" t="n">
        <v>443465</v>
      </c>
      <c r="E160" s="11" t="n">
        <v>537816</v>
      </c>
      <c r="F160" s="12" t="n">
        <v>68000</v>
      </c>
      <c r="G160" s="12" t="n">
        <v>252631.57</v>
      </c>
      <c r="H160" s="12" t="n">
        <v>8.8</v>
      </c>
      <c r="I160" s="12" t="n">
        <v>42437.89471</v>
      </c>
      <c r="J160" s="10" t="s">
        <v>98</v>
      </c>
    </row>
    <row r="161" customFormat="false" ht="14.25" hidden="false" customHeight="true" outlineLevel="0" collapsed="false">
      <c r="A161" s="7" t="n">
        <v>2018</v>
      </c>
      <c r="B161" s="7" t="s">
        <v>96</v>
      </c>
      <c r="C161" s="7" t="s">
        <v>265</v>
      </c>
      <c r="D161" s="8" t="n">
        <v>300000</v>
      </c>
      <c r="E161" s="8" t="n">
        <v>150000</v>
      </c>
      <c r="F161" s="9" t="n">
        <v>66500</v>
      </c>
      <c r="G161" s="9" t="n">
        <v>334457</v>
      </c>
      <c r="H161" s="9" t="n">
        <v>7.6</v>
      </c>
      <c r="I161" s="9" t="n">
        <v>41663.371</v>
      </c>
      <c r="J161" s="7" t="s">
        <v>98</v>
      </c>
    </row>
    <row r="162" customFormat="false" ht="14.25" hidden="false" customHeight="true" outlineLevel="0" collapsed="false">
      <c r="A162" s="10" t="n">
        <v>2018</v>
      </c>
      <c r="B162" s="10" t="s">
        <v>96</v>
      </c>
      <c r="C162" s="10" t="s">
        <v>266</v>
      </c>
      <c r="D162" s="11" t="n">
        <v>250000</v>
      </c>
      <c r="E162" s="11" t="n">
        <v>100000</v>
      </c>
      <c r="F162" s="12" t="n">
        <v>66700</v>
      </c>
      <c r="G162" s="12" t="n">
        <v>334457</v>
      </c>
      <c r="H162" s="12" t="n">
        <v>7.6</v>
      </c>
      <c r="I162" s="12" t="n">
        <v>41783.371</v>
      </c>
      <c r="J162" s="10" t="s">
        <v>98</v>
      </c>
    </row>
    <row r="163" customFormat="false" ht="14.25" hidden="false" customHeight="true" outlineLevel="0" collapsed="false">
      <c r="A163" s="7" t="n">
        <v>2018</v>
      </c>
      <c r="B163" s="7" t="s">
        <v>96</v>
      </c>
      <c r="C163" s="7" t="s">
        <v>267</v>
      </c>
      <c r="D163" s="8" t="n">
        <v>350000</v>
      </c>
      <c r="E163" s="8" t="n">
        <v>200000</v>
      </c>
      <c r="F163" s="9" t="n">
        <v>66600</v>
      </c>
      <c r="G163" s="9" t="n">
        <v>334457</v>
      </c>
      <c r="H163" s="9" t="n">
        <v>7.6</v>
      </c>
      <c r="I163" s="9" t="n">
        <v>41723.371</v>
      </c>
      <c r="J163" s="7" t="s">
        <v>98</v>
      </c>
    </row>
    <row r="164" customFormat="false" ht="14.25" hidden="false" customHeight="true" outlineLevel="0" collapsed="false">
      <c r="A164" s="10" t="n">
        <v>2018</v>
      </c>
      <c r="B164" s="10" t="s">
        <v>96</v>
      </c>
      <c r="C164" s="10" t="s">
        <v>268</v>
      </c>
      <c r="D164" s="11" t="n">
        <v>263057</v>
      </c>
      <c r="E164" s="11" t="n">
        <v>183596</v>
      </c>
      <c r="F164" s="12" t="n">
        <v>66800</v>
      </c>
      <c r="G164" s="12" t="n">
        <v>334457</v>
      </c>
      <c r="H164" s="12" t="n">
        <v>7.6</v>
      </c>
      <c r="I164" s="12" t="n">
        <v>41843.371</v>
      </c>
      <c r="J164" s="10" t="s">
        <v>98</v>
      </c>
    </row>
    <row r="165" customFormat="false" ht="14.25" hidden="false" customHeight="true" outlineLevel="0" collapsed="false">
      <c r="A165" s="7" t="n">
        <v>2018</v>
      </c>
      <c r="B165" s="7" t="s">
        <v>96</v>
      </c>
      <c r="C165" s="7" t="s">
        <v>269</v>
      </c>
      <c r="D165" s="8" t="n">
        <v>452150</v>
      </c>
      <c r="E165" s="8" t="n">
        <v>385200</v>
      </c>
      <c r="F165" s="9" t="n">
        <v>66800</v>
      </c>
      <c r="G165" s="9" t="n">
        <v>334457</v>
      </c>
      <c r="H165" s="9" t="n">
        <v>7.6</v>
      </c>
      <c r="I165" s="9" t="n">
        <v>41843.371</v>
      </c>
      <c r="J165" s="7" t="s">
        <v>98</v>
      </c>
    </row>
    <row r="166" customFormat="false" ht="14.25" hidden="false" customHeight="true" outlineLevel="0" collapsed="false">
      <c r="A166" s="10" t="n">
        <v>2018</v>
      </c>
      <c r="B166" s="10" t="s">
        <v>102</v>
      </c>
      <c r="C166" s="10" t="s">
        <v>270</v>
      </c>
      <c r="D166" s="11" t="n">
        <v>825400</v>
      </c>
      <c r="E166" s="11" t="n">
        <v>562100</v>
      </c>
      <c r="F166" s="12" t="n">
        <v>59200</v>
      </c>
      <c r="G166" s="12" t="n">
        <v>336867</v>
      </c>
      <c r="H166" s="12" t="n">
        <v>5</v>
      </c>
      <c r="I166" s="12" t="n">
        <v>37030.601</v>
      </c>
      <c r="J166" s="10" t="s">
        <v>98</v>
      </c>
    </row>
    <row r="167" customFormat="false" ht="14.25" hidden="false" customHeight="true" outlineLevel="0" collapsed="false">
      <c r="A167" s="7" t="n">
        <v>2018</v>
      </c>
      <c r="B167" s="7" t="s">
        <v>102</v>
      </c>
      <c r="C167" s="7" t="s">
        <v>271</v>
      </c>
      <c r="D167" s="8" t="n">
        <v>550000</v>
      </c>
      <c r="E167" s="8" t="n">
        <v>401500</v>
      </c>
      <c r="F167" s="9" t="n">
        <v>65500</v>
      </c>
      <c r="G167" s="9" t="n">
        <v>336867</v>
      </c>
      <c r="H167" s="9" t="n">
        <v>5</v>
      </c>
      <c r="I167" s="9" t="n">
        <v>40810.601</v>
      </c>
      <c r="J167" s="7" t="s">
        <v>98</v>
      </c>
    </row>
    <row r="168" customFormat="false" ht="14.25" hidden="false" customHeight="true" outlineLevel="0" collapsed="false">
      <c r="A168" s="10" t="n">
        <v>2018</v>
      </c>
      <c r="B168" s="10" t="s">
        <v>102</v>
      </c>
      <c r="C168" s="10" t="s">
        <v>272</v>
      </c>
      <c r="D168" s="11" t="n">
        <v>625900</v>
      </c>
      <c r="E168" s="11" t="n">
        <v>425000</v>
      </c>
      <c r="F168" s="12" t="n">
        <v>64000</v>
      </c>
      <c r="G168" s="12" t="n">
        <v>336867</v>
      </c>
      <c r="H168" s="12" t="n">
        <v>5</v>
      </c>
      <c r="I168" s="12" t="n">
        <v>39910.601</v>
      </c>
      <c r="J168" s="10" t="s">
        <v>98</v>
      </c>
    </row>
    <row r="169" customFormat="false" ht="14.25" hidden="false" customHeight="true" outlineLevel="0" collapsed="false">
      <c r="A169" s="7" t="n">
        <v>2018</v>
      </c>
      <c r="B169" s="7" t="s">
        <v>102</v>
      </c>
      <c r="C169" s="7" t="s">
        <v>273</v>
      </c>
      <c r="D169" s="8" t="n">
        <v>550036</v>
      </c>
      <c r="E169" s="8" t="n">
        <v>339579</v>
      </c>
      <c r="F169" s="9" t="n">
        <v>65300</v>
      </c>
      <c r="G169" s="9" t="n">
        <v>336867</v>
      </c>
      <c r="H169" s="9" t="n">
        <v>5</v>
      </c>
      <c r="I169" s="9" t="n">
        <v>40690.601</v>
      </c>
      <c r="J169" s="7" t="s">
        <v>98</v>
      </c>
    </row>
    <row r="170" customFormat="false" ht="14.25" hidden="false" customHeight="true" outlineLevel="0" collapsed="false">
      <c r="A170" s="10" t="n">
        <v>2018</v>
      </c>
      <c r="B170" s="10" t="s">
        <v>107</v>
      </c>
      <c r="C170" s="10" t="s">
        <v>274</v>
      </c>
      <c r="D170" s="11" t="n">
        <v>1200000</v>
      </c>
      <c r="E170" s="11" t="n">
        <v>850000</v>
      </c>
      <c r="F170" s="12" t="n">
        <v>62500</v>
      </c>
      <c r="G170" s="12" t="n">
        <v>330681</v>
      </c>
      <c r="H170" s="12" t="n">
        <v>4.5</v>
      </c>
      <c r="I170" s="12" t="n">
        <v>38942.043</v>
      </c>
      <c r="J170" s="10" t="s">
        <v>98</v>
      </c>
    </row>
    <row r="171" customFormat="false" ht="14.25" hidden="false" customHeight="true" outlineLevel="0" collapsed="false">
      <c r="A171" s="7" t="n">
        <v>2018</v>
      </c>
      <c r="B171" s="7" t="s">
        <v>107</v>
      </c>
      <c r="C171" s="7" t="s">
        <v>275</v>
      </c>
      <c r="D171" s="8" t="n">
        <v>950000</v>
      </c>
      <c r="E171" s="8" t="n">
        <v>600000</v>
      </c>
      <c r="F171" s="9" t="n">
        <v>65800</v>
      </c>
      <c r="G171" s="9" t="n">
        <v>330681</v>
      </c>
      <c r="H171" s="9" t="n">
        <v>4.5</v>
      </c>
      <c r="I171" s="9" t="n">
        <v>40922.043</v>
      </c>
      <c r="J171" s="7" t="s">
        <v>98</v>
      </c>
    </row>
    <row r="172" customFormat="false" ht="14.25" hidden="false" customHeight="true" outlineLevel="0" collapsed="false">
      <c r="A172" s="10" t="n">
        <v>2018</v>
      </c>
      <c r="B172" s="10" t="s">
        <v>107</v>
      </c>
      <c r="C172" s="10" t="s">
        <v>276</v>
      </c>
      <c r="D172" s="11" t="n">
        <v>1100000</v>
      </c>
      <c r="E172" s="11" t="n">
        <v>750000</v>
      </c>
      <c r="F172" s="12" t="n">
        <v>64000</v>
      </c>
      <c r="G172" s="12" t="n">
        <v>330681</v>
      </c>
      <c r="H172" s="12" t="n">
        <v>4.5</v>
      </c>
      <c r="I172" s="12" t="n">
        <v>39842.043</v>
      </c>
      <c r="J172" s="10" t="s">
        <v>98</v>
      </c>
    </row>
    <row r="173" customFormat="false" ht="14.25" hidden="false" customHeight="true" outlineLevel="0" collapsed="false">
      <c r="A173" s="7" t="n">
        <v>2018</v>
      </c>
      <c r="B173" s="7" t="s">
        <v>107</v>
      </c>
      <c r="C173" s="7" t="s">
        <v>277</v>
      </c>
      <c r="D173" s="8" t="n">
        <v>999099</v>
      </c>
      <c r="E173" s="8" t="n">
        <v>697293</v>
      </c>
      <c r="F173" s="9" t="n">
        <v>61800</v>
      </c>
      <c r="G173" s="9" t="n">
        <v>330681</v>
      </c>
      <c r="H173" s="9" t="n">
        <v>4.5</v>
      </c>
      <c r="I173" s="9" t="n">
        <v>38522.043</v>
      </c>
      <c r="J173" s="7" t="s">
        <v>98</v>
      </c>
    </row>
    <row r="174" customFormat="false" ht="14.25" hidden="false" customHeight="true" outlineLevel="0" collapsed="false">
      <c r="A174" s="10" t="n">
        <v>2018</v>
      </c>
      <c r="B174" s="10" t="s">
        <v>113</v>
      </c>
      <c r="C174" s="10" t="s">
        <v>278</v>
      </c>
      <c r="D174" s="11" t="n">
        <v>900000</v>
      </c>
      <c r="E174" s="11" t="n">
        <v>350000</v>
      </c>
      <c r="F174" s="12" t="n">
        <v>56000</v>
      </c>
      <c r="G174" s="12" t="n">
        <v>343944</v>
      </c>
      <c r="H174" s="12" t="n">
        <v>3.8</v>
      </c>
      <c r="I174" s="12" t="n">
        <v>35011.832</v>
      </c>
      <c r="J174" s="10" t="s">
        <v>98</v>
      </c>
    </row>
    <row r="175" customFormat="false" ht="14.25" hidden="false" customHeight="true" outlineLevel="0" collapsed="false">
      <c r="A175" s="7" t="n">
        <v>2018</v>
      </c>
      <c r="B175" s="7" t="s">
        <v>113</v>
      </c>
      <c r="C175" s="7" t="s">
        <v>279</v>
      </c>
      <c r="D175" s="8" t="n">
        <v>1100000</v>
      </c>
      <c r="E175" s="8" t="n">
        <v>550000</v>
      </c>
      <c r="F175" s="9" t="n">
        <v>52500</v>
      </c>
      <c r="G175" s="9" t="n">
        <v>343944</v>
      </c>
      <c r="H175" s="9" t="n">
        <v>3.8</v>
      </c>
      <c r="I175" s="9" t="n">
        <v>32911.832</v>
      </c>
      <c r="J175" s="7" t="s">
        <v>98</v>
      </c>
    </row>
    <row r="176" customFormat="false" ht="14.25" hidden="false" customHeight="true" outlineLevel="0" collapsed="false">
      <c r="A176" s="10" t="n">
        <v>2018</v>
      </c>
      <c r="B176" s="10" t="s">
        <v>113</v>
      </c>
      <c r="C176" s="10" t="s">
        <v>280</v>
      </c>
      <c r="D176" s="11" t="n">
        <v>850000</v>
      </c>
      <c r="E176" s="11" t="n">
        <v>420000</v>
      </c>
      <c r="F176" s="12" t="n">
        <v>54500</v>
      </c>
      <c r="G176" s="12" t="n">
        <v>343944</v>
      </c>
      <c r="H176" s="12" t="n">
        <v>3.8</v>
      </c>
      <c r="I176" s="12" t="n">
        <v>34111.832</v>
      </c>
      <c r="J176" s="10" t="s">
        <v>98</v>
      </c>
    </row>
    <row r="177" customFormat="false" ht="14.25" hidden="false" customHeight="true" outlineLevel="0" collapsed="false">
      <c r="A177" s="7" t="n">
        <v>2018</v>
      </c>
      <c r="B177" s="7" t="s">
        <v>113</v>
      </c>
      <c r="C177" s="7" t="s">
        <v>281</v>
      </c>
      <c r="D177" s="8" t="n">
        <v>750000</v>
      </c>
      <c r="E177" s="8" t="n">
        <v>350000</v>
      </c>
      <c r="F177" s="9" t="n">
        <v>53000</v>
      </c>
      <c r="G177" s="9" t="n">
        <v>343944</v>
      </c>
      <c r="H177" s="9" t="n">
        <v>3.8</v>
      </c>
      <c r="I177" s="9" t="n">
        <v>33211.832</v>
      </c>
      <c r="J177" s="7" t="s">
        <v>98</v>
      </c>
    </row>
    <row r="178" customFormat="false" ht="14.25" hidden="false" customHeight="true" outlineLevel="0" collapsed="false">
      <c r="A178" s="10" t="n">
        <v>2018</v>
      </c>
      <c r="B178" s="10" t="s">
        <v>113</v>
      </c>
      <c r="C178" s="10" t="s">
        <v>282</v>
      </c>
      <c r="D178" s="11" t="n">
        <v>666040</v>
      </c>
      <c r="E178" s="11" t="n">
        <v>266725</v>
      </c>
      <c r="F178" s="12" t="n">
        <v>53000</v>
      </c>
      <c r="G178" s="12" t="n">
        <v>343944</v>
      </c>
      <c r="H178" s="12" t="n">
        <v>3.8</v>
      </c>
      <c r="I178" s="12" t="n">
        <v>33211.832</v>
      </c>
      <c r="J178" s="10" t="s">
        <v>98</v>
      </c>
    </row>
    <row r="179" customFormat="false" ht="14.25" hidden="false" customHeight="true" outlineLevel="0" collapsed="false">
      <c r="A179" s="7" t="n">
        <v>2018</v>
      </c>
      <c r="B179" s="7" t="s">
        <v>118</v>
      </c>
      <c r="C179" s="7" t="s">
        <v>283</v>
      </c>
      <c r="D179" s="8" t="n">
        <v>900000</v>
      </c>
      <c r="E179" s="8" t="n">
        <v>650000</v>
      </c>
      <c r="F179" s="9" t="n">
        <v>51000</v>
      </c>
      <c r="G179" s="9" t="n">
        <v>369286</v>
      </c>
      <c r="H179" s="9" t="n">
        <v>3.5</v>
      </c>
      <c r="I179" s="9" t="n">
        <v>32057.858</v>
      </c>
      <c r="J179" s="7" t="s">
        <v>98</v>
      </c>
    </row>
    <row r="180" customFormat="false" ht="14.25" hidden="false" customHeight="true" outlineLevel="0" collapsed="false">
      <c r="A180" s="10" t="n">
        <v>2018</v>
      </c>
      <c r="B180" s="10" t="s">
        <v>118</v>
      </c>
      <c r="C180" s="10" t="s">
        <v>284</v>
      </c>
      <c r="D180" s="11" t="n">
        <v>750000</v>
      </c>
      <c r="E180" s="11" t="n">
        <v>550000</v>
      </c>
      <c r="F180" s="12" t="n">
        <v>52500</v>
      </c>
      <c r="G180" s="12" t="n">
        <v>369286</v>
      </c>
      <c r="H180" s="12" t="n">
        <v>3.5</v>
      </c>
      <c r="I180" s="12" t="n">
        <v>32957.858</v>
      </c>
      <c r="J180" s="10" t="s">
        <v>98</v>
      </c>
    </row>
    <row r="181" customFormat="false" ht="14.25" hidden="false" customHeight="true" outlineLevel="0" collapsed="false">
      <c r="A181" s="7" t="n">
        <v>2018</v>
      </c>
      <c r="B181" s="7" t="s">
        <v>118</v>
      </c>
      <c r="C181" s="7" t="s">
        <v>285</v>
      </c>
      <c r="D181" s="8" t="n">
        <v>650000</v>
      </c>
      <c r="E181" s="8" t="n">
        <v>480000</v>
      </c>
      <c r="F181" s="9" t="n">
        <v>51500</v>
      </c>
      <c r="G181" s="9" t="n">
        <v>369286</v>
      </c>
      <c r="H181" s="9" t="n">
        <v>3.5</v>
      </c>
      <c r="I181" s="9" t="n">
        <v>32357.858</v>
      </c>
      <c r="J181" s="7" t="s">
        <v>98</v>
      </c>
    </row>
    <row r="182" customFormat="false" ht="14.25" hidden="false" customHeight="true" outlineLevel="0" collapsed="false">
      <c r="A182" s="10" t="n">
        <v>2018</v>
      </c>
      <c r="B182" s="10" t="s">
        <v>118</v>
      </c>
      <c r="C182" s="10" t="s">
        <v>286</v>
      </c>
      <c r="D182" s="11" t="n">
        <v>678262</v>
      </c>
      <c r="E182" s="11" t="n">
        <v>451932</v>
      </c>
      <c r="F182" s="12" t="n">
        <v>52200</v>
      </c>
      <c r="G182" s="12" t="n">
        <v>369286</v>
      </c>
      <c r="H182" s="12" t="n">
        <v>3.5</v>
      </c>
      <c r="I182" s="12" t="n">
        <v>32777.858</v>
      </c>
      <c r="J182" s="10" t="s">
        <v>98</v>
      </c>
    </row>
    <row r="183" customFormat="false" ht="14.25" hidden="false" customHeight="true" outlineLevel="0" collapsed="false">
      <c r="A183" s="7" t="n">
        <v>2018</v>
      </c>
      <c r="B183" s="7" t="s">
        <v>123</v>
      </c>
      <c r="C183" s="7" t="s">
        <v>287</v>
      </c>
      <c r="D183" s="8" t="n">
        <v>1200000</v>
      </c>
      <c r="E183" s="8" t="n">
        <v>900000</v>
      </c>
      <c r="F183" s="9" t="n">
        <v>56000</v>
      </c>
      <c r="G183" s="9" t="n">
        <v>353417</v>
      </c>
      <c r="H183" s="9" t="n">
        <v>3.3</v>
      </c>
      <c r="I183" s="9" t="n">
        <v>34990.251</v>
      </c>
      <c r="J183" s="7" t="s">
        <v>98</v>
      </c>
    </row>
    <row r="184" customFormat="false" ht="14.25" hidden="false" customHeight="true" outlineLevel="0" collapsed="false">
      <c r="A184" s="10" t="n">
        <v>2018</v>
      </c>
      <c r="B184" s="10" t="s">
        <v>123</v>
      </c>
      <c r="C184" s="10" t="s">
        <v>288</v>
      </c>
      <c r="D184" s="11" t="n">
        <v>950000</v>
      </c>
      <c r="E184" s="11" t="n">
        <v>650000</v>
      </c>
      <c r="F184" s="12" t="n">
        <v>58000</v>
      </c>
      <c r="G184" s="12" t="n">
        <v>353417</v>
      </c>
      <c r="H184" s="12" t="n">
        <v>3.3</v>
      </c>
      <c r="I184" s="12" t="n">
        <v>36190.251</v>
      </c>
      <c r="J184" s="10" t="s">
        <v>98</v>
      </c>
    </row>
    <row r="185" customFormat="false" ht="14.25" hidden="false" customHeight="true" outlineLevel="0" collapsed="false">
      <c r="A185" s="7" t="n">
        <v>2018</v>
      </c>
      <c r="B185" s="7" t="s">
        <v>123</v>
      </c>
      <c r="C185" s="7" t="s">
        <v>289</v>
      </c>
      <c r="D185" s="8" t="n">
        <v>1100000</v>
      </c>
      <c r="E185" s="8" t="n">
        <v>750000</v>
      </c>
      <c r="F185" s="9" t="n">
        <v>57000</v>
      </c>
      <c r="G185" s="9" t="n">
        <v>353417</v>
      </c>
      <c r="H185" s="9" t="n">
        <v>3.3</v>
      </c>
      <c r="I185" s="9" t="n">
        <v>35590.251</v>
      </c>
      <c r="J185" s="7" t="s">
        <v>98</v>
      </c>
    </row>
    <row r="186" customFormat="false" ht="14.25" hidden="false" customHeight="true" outlineLevel="0" collapsed="false">
      <c r="A186" s="10" t="n">
        <v>2018</v>
      </c>
      <c r="B186" s="10" t="s">
        <v>123</v>
      </c>
      <c r="C186" s="10" t="s">
        <v>290</v>
      </c>
      <c r="D186" s="11" t="n">
        <v>784860</v>
      </c>
      <c r="E186" s="11" t="n">
        <v>406868</v>
      </c>
      <c r="F186" s="12" t="n">
        <v>58500</v>
      </c>
      <c r="G186" s="12" t="n">
        <v>353417</v>
      </c>
      <c r="H186" s="12" t="n">
        <v>3.3</v>
      </c>
      <c r="I186" s="12" t="n">
        <v>36490.251</v>
      </c>
      <c r="J186" s="10" t="s">
        <v>98</v>
      </c>
    </row>
    <row r="187" customFormat="false" ht="14.25" hidden="false" customHeight="true" outlineLevel="0" collapsed="false">
      <c r="A187" s="7" t="n">
        <v>2018</v>
      </c>
      <c r="B187" s="7" t="s">
        <v>129</v>
      </c>
      <c r="C187" s="7" t="s">
        <v>291</v>
      </c>
      <c r="D187" s="8" t="n">
        <v>1100000</v>
      </c>
      <c r="E187" s="8" t="n">
        <v>800000</v>
      </c>
      <c r="F187" s="9" t="n">
        <v>46000</v>
      </c>
      <c r="G187" s="9" t="n">
        <v>327108</v>
      </c>
      <c r="H187" s="9" t="n">
        <v>3.7</v>
      </c>
      <c r="I187" s="9" t="n">
        <v>28951.324</v>
      </c>
      <c r="J187" s="7" t="s">
        <v>98</v>
      </c>
    </row>
    <row r="188" customFormat="false" ht="14.25" hidden="false" customHeight="true" outlineLevel="0" collapsed="false">
      <c r="A188" s="10" t="n">
        <v>2018</v>
      </c>
      <c r="B188" s="10" t="s">
        <v>129</v>
      </c>
      <c r="C188" s="10" t="s">
        <v>292</v>
      </c>
      <c r="D188" s="11" t="n">
        <v>900000</v>
      </c>
      <c r="E188" s="11" t="n">
        <v>650000</v>
      </c>
      <c r="F188" s="12" t="n">
        <v>49000</v>
      </c>
      <c r="G188" s="12" t="n">
        <v>327108</v>
      </c>
      <c r="H188" s="12" t="n">
        <v>3.7</v>
      </c>
      <c r="I188" s="12" t="n">
        <v>30751.324</v>
      </c>
      <c r="J188" s="10" t="s">
        <v>98</v>
      </c>
    </row>
    <row r="189" customFormat="false" ht="14.25" hidden="false" customHeight="true" outlineLevel="0" collapsed="false">
      <c r="A189" s="7" t="n">
        <v>2018</v>
      </c>
      <c r="B189" s="7" t="s">
        <v>129</v>
      </c>
      <c r="C189" s="7" t="s">
        <v>293</v>
      </c>
      <c r="D189" s="8" t="n">
        <v>950000</v>
      </c>
      <c r="E189" s="8" t="n">
        <v>600000</v>
      </c>
      <c r="F189" s="9" t="n">
        <v>48500</v>
      </c>
      <c r="G189" s="9" t="n">
        <v>327108</v>
      </c>
      <c r="H189" s="9" t="n">
        <v>3.7</v>
      </c>
      <c r="I189" s="9" t="n">
        <v>30451.324</v>
      </c>
      <c r="J189" s="7" t="s">
        <v>98</v>
      </c>
    </row>
    <row r="190" customFormat="false" ht="14.25" hidden="false" customHeight="true" outlineLevel="0" collapsed="false">
      <c r="A190" s="10" t="n">
        <v>2018</v>
      </c>
      <c r="B190" s="10" t="s">
        <v>129</v>
      </c>
      <c r="C190" s="10" t="s">
        <v>294</v>
      </c>
      <c r="D190" s="11" t="n">
        <v>898088</v>
      </c>
      <c r="E190" s="11" t="n">
        <v>552363</v>
      </c>
      <c r="F190" s="12" t="n">
        <v>48000</v>
      </c>
      <c r="G190" s="12" t="n">
        <v>327108</v>
      </c>
      <c r="H190" s="12" t="n">
        <v>3.7</v>
      </c>
      <c r="I190" s="12" t="n">
        <v>30151.324</v>
      </c>
      <c r="J190" s="10" t="s">
        <v>98</v>
      </c>
    </row>
    <row r="191" customFormat="false" ht="14.25" hidden="false" customHeight="true" outlineLevel="0" collapsed="false">
      <c r="A191" s="7" t="n">
        <v>2018</v>
      </c>
      <c r="B191" s="7" t="s">
        <v>129</v>
      </c>
      <c r="C191" s="7" t="s">
        <v>295</v>
      </c>
      <c r="D191" s="8" t="n">
        <v>1000000</v>
      </c>
      <c r="E191" s="8" t="n">
        <v>850000</v>
      </c>
      <c r="F191" s="9" t="n">
        <v>44000</v>
      </c>
      <c r="G191" s="9" t="n">
        <v>327108</v>
      </c>
      <c r="H191" s="9" t="n">
        <v>3.7</v>
      </c>
      <c r="I191" s="9" t="n">
        <v>27751.324</v>
      </c>
      <c r="J191" s="7" t="s">
        <v>98</v>
      </c>
    </row>
    <row r="192" customFormat="false" ht="14.25" hidden="false" customHeight="true" outlineLevel="0" collapsed="false">
      <c r="A192" s="10" t="n">
        <v>2018</v>
      </c>
      <c r="B192" s="10" t="s">
        <v>134</v>
      </c>
      <c r="C192" s="10" t="s">
        <v>296</v>
      </c>
      <c r="D192" s="11" t="n">
        <v>900000</v>
      </c>
      <c r="E192" s="11" t="n">
        <v>750000</v>
      </c>
      <c r="F192" s="12" t="n">
        <v>45500</v>
      </c>
      <c r="G192" s="12" t="n">
        <v>326686</v>
      </c>
      <c r="H192" s="12" t="n">
        <v>3.9</v>
      </c>
      <c r="I192" s="12" t="n">
        <v>28670.058</v>
      </c>
      <c r="J192" s="10" t="s">
        <v>98</v>
      </c>
    </row>
    <row r="193" customFormat="false" ht="14.25" hidden="false" customHeight="true" outlineLevel="0" collapsed="false">
      <c r="A193" s="7" t="n">
        <v>2018</v>
      </c>
      <c r="B193" s="7" t="s">
        <v>134</v>
      </c>
      <c r="C193" s="7" t="s">
        <v>297</v>
      </c>
      <c r="D193" s="8" t="n">
        <v>950000</v>
      </c>
      <c r="E193" s="8" t="n">
        <v>700000</v>
      </c>
      <c r="F193" s="9" t="n">
        <v>45000</v>
      </c>
      <c r="G193" s="9" t="n">
        <v>326686</v>
      </c>
      <c r="H193" s="9" t="n">
        <v>3.9</v>
      </c>
      <c r="I193" s="9" t="n">
        <v>28370.058</v>
      </c>
      <c r="J193" s="7" t="s">
        <v>98</v>
      </c>
    </row>
    <row r="194" customFormat="false" ht="14.25" hidden="false" customHeight="true" outlineLevel="0" collapsed="false">
      <c r="A194" s="10" t="n">
        <v>2018</v>
      </c>
      <c r="B194" s="10" t="s">
        <v>134</v>
      </c>
      <c r="C194" s="10" t="s">
        <v>298</v>
      </c>
      <c r="D194" s="11" t="n">
        <v>920449</v>
      </c>
      <c r="E194" s="11" t="n">
        <v>590942</v>
      </c>
      <c r="F194" s="12" t="n">
        <v>46200</v>
      </c>
      <c r="G194" s="12" t="n">
        <v>326686</v>
      </c>
      <c r="H194" s="12" t="n">
        <v>3.9</v>
      </c>
      <c r="I194" s="12" t="n">
        <v>29090.058</v>
      </c>
      <c r="J194" s="10" t="s">
        <v>98</v>
      </c>
    </row>
    <row r="195" customFormat="false" ht="14.25" hidden="false" customHeight="true" outlineLevel="0" collapsed="false">
      <c r="A195" s="7" t="n">
        <v>2018</v>
      </c>
      <c r="B195" s="7" t="s">
        <v>134</v>
      </c>
      <c r="C195" s="7" t="s">
        <v>299</v>
      </c>
      <c r="D195" s="8" t="n">
        <v>1500000</v>
      </c>
      <c r="E195" s="8" t="n">
        <v>900000</v>
      </c>
      <c r="F195" s="9" t="n">
        <v>34000</v>
      </c>
      <c r="G195" s="9" t="n">
        <v>326686</v>
      </c>
      <c r="H195" s="9" t="n">
        <v>3.9</v>
      </c>
      <c r="I195" s="9" t="n">
        <v>21770.058</v>
      </c>
      <c r="J195" s="7" t="s">
        <v>98</v>
      </c>
    </row>
    <row r="196" customFormat="false" ht="14.25" hidden="false" customHeight="true" outlineLevel="0" collapsed="false">
      <c r="A196" s="10" t="n">
        <v>2018</v>
      </c>
      <c r="B196" s="10" t="s">
        <v>140</v>
      </c>
      <c r="C196" s="10" t="s">
        <v>300</v>
      </c>
      <c r="D196" s="11" t="n">
        <v>1300000</v>
      </c>
      <c r="E196" s="11" t="n">
        <v>800000</v>
      </c>
      <c r="F196" s="12" t="n">
        <v>36000</v>
      </c>
      <c r="G196" s="12" t="n">
        <v>340680</v>
      </c>
      <c r="H196" s="12" t="n">
        <v>4</v>
      </c>
      <c r="I196" s="12" t="n">
        <v>23022.04</v>
      </c>
      <c r="J196" s="10" t="s">
        <v>98</v>
      </c>
    </row>
    <row r="197" customFormat="false" ht="14.25" hidden="false" customHeight="true" outlineLevel="0" collapsed="false">
      <c r="A197" s="7" t="n">
        <v>2018</v>
      </c>
      <c r="B197" s="7" t="s">
        <v>140</v>
      </c>
      <c r="C197" s="7" t="s">
        <v>301</v>
      </c>
      <c r="D197" s="8" t="n">
        <v>1250000</v>
      </c>
      <c r="E197" s="8" t="n">
        <v>750000</v>
      </c>
      <c r="F197" s="9" t="n">
        <v>35500</v>
      </c>
      <c r="G197" s="9" t="n">
        <v>340680</v>
      </c>
      <c r="H197" s="9" t="n">
        <v>4</v>
      </c>
      <c r="I197" s="9" t="n">
        <v>22722.04</v>
      </c>
      <c r="J197" s="7" t="s">
        <v>98</v>
      </c>
    </row>
    <row r="198" customFormat="false" ht="14.25" hidden="false" customHeight="true" outlineLevel="0" collapsed="false">
      <c r="A198" s="10" t="n">
        <v>2018</v>
      </c>
      <c r="B198" s="10" t="s">
        <v>140</v>
      </c>
      <c r="C198" s="10" t="s">
        <v>302</v>
      </c>
      <c r="D198" s="11" t="n">
        <v>1100000</v>
      </c>
      <c r="E198" s="11" t="n">
        <v>600000</v>
      </c>
      <c r="F198" s="12" t="n">
        <v>36500</v>
      </c>
      <c r="G198" s="12" t="n">
        <v>340680</v>
      </c>
      <c r="H198" s="12" t="n">
        <v>4</v>
      </c>
      <c r="I198" s="12" t="n">
        <v>23322.04</v>
      </c>
      <c r="J198" s="10" t="s">
        <v>98</v>
      </c>
    </row>
    <row r="199" customFormat="false" ht="14.25" hidden="false" customHeight="true" outlineLevel="0" collapsed="false">
      <c r="A199" s="7" t="n">
        <v>2018</v>
      </c>
      <c r="B199" s="7" t="s">
        <v>140</v>
      </c>
      <c r="C199" s="7" t="s">
        <v>303</v>
      </c>
      <c r="D199" s="8" t="n">
        <v>1238851</v>
      </c>
      <c r="E199" s="8" t="n">
        <v>463811</v>
      </c>
      <c r="F199" s="9" t="n">
        <v>35400</v>
      </c>
      <c r="G199" s="9" t="n">
        <v>340680</v>
      </c>
      <c r="H199" s="9" t="n">
        <v>4</v>
      </c>
      <c r="I199" s="9" t="n">
        <v>22662.04</v>
      </c>
      <c r="J199" s="7" t="s">
        <v>98</v>
      </c>
    </row>
    <row r="200" customFormat="false" ht="14.25" hidden="false" customHeight="true" outlineLevel="0" collapsed="false">
      <c r="A200" s="10" t="n">
        <v>2018</v>
      </c>
      <c r="B200" s="10" t="s">
        <v>145</v>
      </c>
      <c r="C200" s="10" t="s">
        <v>304</v>
      </c>
      <c r="D200" s="11" t="n">
        <v>1000000</v>
      </c>
      <c r="E200" s="11" t="n">
        <v>700000</v>
      </c>
      <c r="F200" s="12" t="n">
        <v>35000</v>
      </c>
      <c r="G200" s="12" t="n">
        <v>321167</v>
      </c>
      <c r="H200" s="12" t="n">
        <v>3.8</v>
      </c>
      <c r="I200" s="12" t="n">
        <v>22343.501</v>
      </c>
      <c r="J200" s="10" t="s">
        <v>98</v>
      </c>
    </row>
    <row r="201" customFormat="false" ht="14.25" hidden="false" customHeight="true" outlineLevel="0" collapsed="false">
      <c r="A201" s="7" t="n">
        <v>2018</v>
      </c>
      <c r="B201" s="7" t="s">
        <v>145</v>
      </c>
      <c r="C201" s="7" t="s">
        <v>305</v>
      </c>
      <c r="D201" s="8" t="n">
        <v>900000</v>
      </c>
      <c r="E201" s="8" t="n">
        <v>600000</v>
      </c>
      <c r="F201" s="9" t="n">
        <v>37000</v>
      </c>
      <c r="G201" s="9" t="n">
        <v>321167</v>
      </c>
      <c r="H201" s="9" t="n">
        <v>3.8</v>
      </c>
      <c r="I201" s="9" t="n">
        <v>23543.501</v>
      </c>
      <c r="J201" s="7" t="s">
        <v>98</v>
      </c>
    </row>
    <row r="202" customFormat="false" ht="14.25" hidden="false" customHeight="true" outlineLevel="0" collapsed="false">
      <c r="A202" s="10" t="n">
        <v>2018</v>
      </c>
      <c r="B202" s="10" t="s">
        <v>145</v>
      </c>
      <c r="C202" s="10" t="s">
        <v>306</v>
      </c>
      <c r="D202" s="11" t="n">
        <v>950000</v>
      </c>
      <c r="E202" s="11" t="n">
        <v>650000</v>
      </c>
      <c r="F202" s="12" t="n">
        <v>36500</v>
      </c>
      <c r="G202" s="12" t="n">
        <v>321167</v>
      </c>
      <c r="H202" s="12" t="n">
        <v>3.8</v>
      </c>
      <c r="I202" s="12" t="n">
        <v>23243.501</v>
      </c>
      <c r="J202" s="10" t="s">
        <v>98</v>
      </c>
    </row>
    <row r="203" customFormat="false" ht="14.25" hidden="false" customHeight="true" outlineLevel="0" collapsed="false">
      <c r="A203" s="7" t="n">
        <v>2018</v>
      </c>
      <c r="B203" s="7" t="s">
        <v>145</v>
      </c>
      <c r="C203" s="7" t="s">
        <v>307</v>
      </c>
      <c r="D203" s="8" t="n">
        <v>834310</v>
      </c>
      <c r="E203" s="8" t="n">
        <v>527242</v>
      </c>
      <c r="F203" s="9" t="n">
        <v>38200</v>
      </c>
      <c r="G203" s="9" t="n">
        <v>321167</v>
      </c>
      <c r="H203" s="9" t="n">
        <v>3.8</v>
      </c>
      <c r="I203" s="9" t="n">
        <v>24263.501</v>
      </c>
      <c r="J203" s="7" t="s">
        <v>98</v>
      </c>
    </row>
    <row r="204" customFormat="false" ht="14.25" hidden="false" customHeight="true" outlineLevel="0" collapsed="false">
      <c r="A204" s="10" t="n">
        <v>2018</v>
      </c>
      <c r="B204" s="10" t="s">
        <v>145</v>
      </c>
      <c r="C204" s="10" t="s">
        <v>308</v>
      </c>
      <c r="D204" s="11" t="n">
        <v>1100000</v>
      </c>
      <c r="E204" s="11" t="n">
        <v>850000</v>
      </c>
      <c r="F204" s="12" t="n">
        <v>30500</v>
      </c>
      <c r="G204" s="12" t="n">
        <v>321167</v>
      </c>
      <c r="H204" s="12" t="n">
        <v>3.8</v>
      </c>
      <c r="I204" s="12" t="n">
        <v>19643.501</v>
      </c>
      <c r="J204" s="10" t="s">
        <v>98</v>
      </c>
    </row>
    <row r="205" customFormat="false" ht="14.25" hidden="false" customHeight="true" outlineLevel="0" collapsed="false">
      <c r="A205" s="7" t="n">
        <v>2018</v>
      </c>
      <c r="B205" s="7" t="s">
        <v>150</v>
      </c>
      <c r="C205" s="7" t="s">
        <v>309</v>
      </c>
      <c r="D205" s="8" t="n">
        <v>900000</v>
      </c>
      <c r="E205" s="8" t="n">
        <v>700000</v>
      </c>
      <c r="F205" s="9" t="n">
        <v>32000</v>
      </c>
      <c r="G205" s="9" t="n">
        <v>328291</v>
      </c>
      <c r="H205" s="9" t="n">
        <v>3.5</v>
      </c>
      <c r="I205" s="9" t="n">
        <v>20534.873</v>
      </c>
      <c r="J205" s="7" t="s">
        <v>98</v>
      </c>
    </row>
    <row r="206" customFormat="false" ht="14.25" hidden="false" customHeight="true" outlineLevel="0" collapsed="false">
      <c r="A206" s="10" t="n">
        <v>2018</v>
      </c>
      <c r="B206" s="10" t="s">
        <v>150</v>
      </c>
      <c r="C206" s="10" t="s">
        <v>310</v>
      </c>
      <c r="D206" s="11" t="n">
        <v>950000</v>
      </c>
      <c r="E206" s="11" t="n">
        <v>650000</v>
      </c>
      <c r="F206" s="12" t="n">
        <v>31500</v>
      </c>
      <c r="G206" s="12" t="n">
        <v>328291</v>
      </c>
      <c r="H206" s="12" t="n">
        <v>3.5</v>
      </c>
      <c r="I206" s="12" t="n">
        <v>20234.873</v>
      </c>
      <c r="J206" s="10" t="s">
        <v>98</v>
      </c>
    </row>
    <row r="207" customFormat="false" ht="14.25" hidden="false" customHeight="true" outlineLevel="0" collapsed="false">
      <c r="A207" s="7" t="n">
        <v>2018</v>
      </c>
      <c r="B207" s="7" t="s">
        <v>150</v>
      </c>
      <c r="C207" s="7" t="s">
        <v>311</v>
      </c>
      <c r="D207" s="8" t="n">
        <v>850000</v>
      </c>
      <c r="E207" s="8" t="n">
        <v>550000</v>
      </c>
      <c r="F207" s="9" t="n">
        <v>32500</v>
      </c>
      <c r="G207" s="9" t="n">
        <v>328291</v>
      </c>
      <c r="H207" s="9" t="n">
        <v>3.5</v>
      </c>
      <c r="I207" s="9" t="n">
        <v>20834.873</v>
      </c>
      <c r="J207" s="7" t="s">
        <v>98</v>
      </c>
    </row>
    <row r="208" customFormat="false" ht="14.25" hidden="false" customHeight="true" outlineLevel="0" collapsed="false">
      <c r="A208" s="10" t="n">
        <v>2018</v>
      </c>
      <c r="B208" s="10" t="s">
        <v>150</v>
      </c>
      <c r="C208" s="10" t="s">
        <v>312</v>
      </c>
      <c r="D208" s="11" t="n">
        <v>288940</v>
      </c>
      <c r="E208" s="11" t="n">
        <v>264591</v>
      </c>
      <c r="F208" s="12" t="n">
        <v>33000</v>
      </c>
      <c r="G208" s="12" t="n">
        <v>328291</v>
      </c>
      <c r="H208" s="12" t="n">
        <v>3.5</v>
      </c>
      <c r="I208" s="12" t="n">
        <v>21134.873</v>
      </c>
      <c r="J208" s="10" t="s">
        <v>98</v>
      </c>
    </row>
    <row r="209" customFormat="false" ht="14.25" hidden="false" customHeight="true" outlineLevel="0" collapsed="false">
      <c r="A209" s="7" t="n">
        <v>2018</v>
      </c>
      <c r="B209" s="7" t="s">
        <v>156</v>
      </c>
      <c r="C209" s="7" t="s">
        <v>313</v>
      </c>
      <c r="D209" s="8" t="n">
        <v>1100000</v>
      </c>
      <c r="E209" s="8" t="n">
        <v>700000</v>
      </c>
      <c r="F209" s="9" t="n">
        <v>29000</v>
      </c>
      <c r="G209" s="9" t="n">
        <v>326181</v>
      </c>
      <c r="H209" s="9" t="n">
        <v>3.2</v>
      </c>
      <c r="I209" s="9" t="n">
        <v>18698.543</v>
      </c>
      <c r="J209" s="7" t="s">
        <v>98</v>
      </c>
    </row>
    <row r="210" customFormat="false" ht="14.25" hidden="false" customHeight="true" outlineLevel="0" collapsed="false">
      <c r="A210" s="10" t="n">
        <v>2018</v>
      </c>
      <c r="B210" s="10" t="s">
        <v>156</v>
      </c>
      <c r="C210" s="10" t="s">
        <v>314</v>
      </c>
      <c r="D210" s="11" t="n">
        <v>900000</v>
      </c>
      <c r="E210" s="11" t="n">
        <v>600000</v>
      </c>
      <c r="F210" s="12" t="n">
        <v>30000</v>
      </c>
      <c r="G210" s="12" t="n">
        <v>326181</v>
      </c>
      <c r="H210" s="12" t="n">
        <v>3.2</v>
      </c>
      <c r="I210" s="12" t="n">
        <v>19298.543</v>
      </c>
      <c r="J210" s="10" t="s">
        <v>98</v>
      </c>
    </row>
    <row r="211" customFormat="false" ht="14.25" hidden="false" customHeight="true" outlineLevel="0" collapsed="false">
      <c r="A211" s="7" t="n">
        <v>2018</v>
      </c>
      <c r="B211" s="7" t="s">
        <v>156</v>
      </c>
      <c r="C211" s="7" t="s">
        <v>315</v>
      </c>
      <c r="D211" s="8" t="n">
        <v>950000</v>
      </c>
      <c r="E211" s="8" t="n">
        <v>650000</v>
      </c>
      <c r="F211" s="9" t="n">
        <v>29500</v>
      </c>
      <c r="G211" s="9" t="n">
        <v>326181</v>
      </c>
      <c r="H211" s="9" t="n">
        <v>3.2</v>
      </c>
      <c r="I211" s="9" t="n">
        <v>18998.543</v>
      </c>
      <c r="J211" s="7" t="s">
        <v>98</v>
      </c>
    </row>
    <row r="212" customFormat="false" ht="14.25" hidden="false" customHeight="true" outlineLevel="0" collapsed="false">
      <c r="A212" s="10" t="n">
        <v>2018</v>
      </c>
      <c r="B212" s="10" t="s">
        <v>156</v>
      </c>
      <c r="C212" s="10" t="s">
        <v>316</v>
      </c>
      <c r="D212" s="11" t="n">
        <v>1089554</v>
      </c>
      <c r="E212" s="11" t="n">
        <v>583794</v>
      </c>
      <c r="F212" s="12" t="n">
        <v>30500</v>
      </c>
      <c r="G212" s="12" t="n">
        <v>326181</v>
      </c>
      <c r="H212" s="12" t="n">
        <v>3.2</v>
      </c>
      <c r="I212" s="12" t="n">
        <v>19598.543</v>
      </c>
      <c r="J212" s="10" t="s">
        <v>98</v>
      </c>
    </row>
    <row r="213" customFormat="false" ht="14.25" hidden="false" customHeight="true" outlineLevel="0" collapsed="false">
      <c r="A213" s="7" t="n">
        <v>2018</v>
      </c>
      <c r="B213" s="7" t="s">
        <v>156</v>
      </c>
      <c r="C213" s="7" t="s">
        <v>317</v>
      </c>
      <c r="D213" s="8" t="n">
        <v>700000</v>
      </c>
      <c r="E213" s="8" t="n">
        <v>550000</v>
      </c>
      <c r="F213" s="9" t="n">
        <v>28500</v>
      </c>
      <c r="G213" s="9" t="n">
        <v>326181</v>
      </c>
      <c r="H213" s="9" t="n">
        <v>3.2</v>
      </c>
      <c r="I213" s="9" t="n">
        <v>18398.543</v>
      </c>
      <c r="J213" s="7" t="s">
        <v>98</v>
      </c>
    </row>
    <row r="214" customFormat="false" ht="14.25" hidden="false" customHeight="true" outlineLevel="0" collapsed="false">
      <c r="A214" s="10" t="n">
        <v>2019</v>
      </c>
      <c r="B214" s="10" t="s">
        <v>96</v>
      </c>
      <c r="C214" s="10" t="s">
        <v>318</v>
      </c>
      <c r="D214" s="11" t="n">
        <v>650000</v>
      </c>
      <c r="E214" s="11" t="n">
        <v>500000</v>
      </c>
      <c r="F214" s="12" t="n">
        <v>29000</v>
      </c>
      <c r="G214" s="12" t="n">
        <v>351276</v>
      </c>
      <c r="H214" s="12" t="n">
        <v>2.2</v>
      </c>
      <c r="I214" s="12" t="n">
        <v>18673.828</v>
      </c>
      <c r="J214" s="10" t="s">
        <v>319</v>
      </c>
    </row>
    <row r="215" customFormat="false" ht="14.25" hidden="false" customHeight="true" outlineLevel="0" collapsed="false">
      <c r="A215" s="7" t="n">
        <v>2019</v>
      </c>
      <c r="B215" s="7" t="s">
        <v>96</v>
      </c>
      <c r="C215" s="7" t="s">
        <v>320</v>
      </c>
      <c r="D215" s="8" t="n">
        <v>750000</v>
      </c>
      <c r="E215" s="8" t="n">
        <v>600000</v>
      </c>
      <c r="F215" s="9" t="n">
        <v>29500</v>
      </c>
      <c r="G215" s="9" t="n">
        <v>351276</v>
      </c>
      <c r="H215" s="9" t="n">
        <v>2.2</v>
      </c>
      <c r="I215" s="9" t="n">
        <v>18973.828</v>
      </c>
      <c r="J215" s="7" t="s">
        <v>319</v>
      </c>
    </row>
    <row r="216" customFormat="false" ht="14.25" hidden="false" customHeight="true" outlineLevel="0" collapsed="false">
      <c r="A216" s="10" t="n">
        <v>2019</v>
      </c>
      <c r="B216" s="10" t="s">
        <v>96</v>
      </c>
      <c r="C216" s="10" t="s">
        <v>321</v>
      </c>
      <c r="D216" s="11" t="n">
        <v>587453</v>
      </c>
      <c r="E216" s="11" t="n">
        <v>316237</v>
      </c>
      <c r="F216" s="12" t="n">
        <v>29700</v>
      </c>
      <c r="G216" s="12" t="n">
        <v>351276</v>
      </c>
      <c r="H216" s="12" t="n">
        <v>2.2</v>
      </c>
      <c r="I216" s="12" t="n">
        <v>19093.828</v>
      </c>
      <c r="J216" s="10" t="s">
        <v>319</v>
      </c>
    </row>
    <row r="217" customFormat="false" ht="14.25" hidden="false" customHeight="true" outlineLevel="0" collapsed="false">
      <c r="A217" s="7" t="n">
        <v>2019</v>
      </c>
      <c r="B217" s="7" t="s">
        <v>96</v>
      </c>
      <c r="C217" s="7" t="s">
        <v>322</v>
      </c>
      <c r="D217" s="8" t="n">
        <v>1200000</v>
      </c>
      <c r="E217" s="8" t="n">
        <v>1000000</v>
      </c>
      <c r="F217" s="9" t="n">
        <v>29000</v>
      </c>
      <c r="G217" s="9" t="n">
        <v>351276</v>
      </c>
      <c r="H217" s="9" t="n">
        <v>2.2</v>
      </c>
      <c r="I217" s="9" t="n">
        <v>18673.828</v>
      </c>
      <c r="J217" s="7" t="s">
        <v>319</v>
      </c>
    </row>
    <row r="218" customFormat="false" ht="14.25" hidden="false" customHeight="true" outlineLevel="0" collapsed="false">
      <c r="A218" s="10" t="n">
        <v>2019</v>
      </c>
      <c r="B218" s="10" t="s">
        <v>102</v>
      </c>
      <c r="C218" s="10" t="s">
        <v>323</v>
      </c>
      <c r="D218" s="11" t="n">
        <v>1100000</v>
      </c>
      <c r="E218" s="11" t="n">
        <v>900000</v>
      </c>
      <c r="F218" s="12" t="n">
        <v>30000</v>
      </c>
      <c r="G218" s="12" t="n">
        <v>356233</v>
      </c>
      <c r="H218" s="12" t="n">
        <v>3.7</v>
      </c>
      <c r="I218" s="12" t="n">
        <v>19438.699</v>
      </c>
      <c r="J218" s="10" t="s">
        <v>319</v>
      </c>
    </row>
    <row r="219" customFormat="false" ht="14.25" hidden="false" customHeight="true" outlineLevel="0" collapsed="false">
      <c r="A219" s="7" t="n">
        <v>2019</v>
      </c>
      <c r="B219" s="7" t="s">
        <v>102</v>
      </c>
      <c r="C219" s="7" t="s">
        <v>324</v>
      </c>
      <c r="D219" s="8" t="n">
        <v>1000000</v>
      </c>
      <c r="E219" s="8" t="n">
        <v>800000</v>
      </c>
      <c r="F219" s="9" t="n">
        <v>29500</v>
      </c>
      <c r="G219" s="9" t="n">
        <v>356233</v>
      </c>
      <c r="H219" s="9" t="n">
        <v>3.7</v>
      </c>
      <c r="I219" s="9" t="n">
        <v>19138.699</v>
      </c>
      <c r="J219" s="7" t="s">
        <v>319</v>
      </c>
    </row>
    <row r="220" customFormat="false" ht="14.25" hidden="false" customHeight="true" outlineLevel="0" collapsed="false">
      <c r="A220" s="10" t="n">
        <v>2019</v>
      </c>
      <c r="B220" s="10" t="s">
        <v>102</v>
      </c>
      <c r="C220" s="10" t="s">
        <v>325</v>
      </c>
      <c r="D220" s="11" t="n">
        <v>950000</v>
      </c>
      <c r="E220" s="11" t="n">
        <v>750000</v>
      </c>
      <c r="F220" s="12" t="n">
        <v>30500</v>
      </c>
      <c r="G220" s="12" t="n">
        <v>356233</v>
      </c>
      <c r="H220" s="12" t="n">
        <v>3.7</v>
      </c>
      <c r="I220" s="12" t="n">
        <v>19738.699</v>
      </c>
      <c r="J220" s="10" t="s">
        <v>319</v>
      </c>
    </row>
    <row r="221" customFormat="false" ht="14.25" hidden="false" customHeight="true" outlineLevel="0" collapsed="false">
      <c r="A221" s="7" t="n">
        <v>2019</v>
      </c>
      <c r="B221" s="7" t="s">
        <v>102</v>
      </c>
      <c r="C221" s="7" t="s">
        <v>326</v>
      </c>
      <c r="D221" s="8" t="n">
        <v>1294610</v>
      </c>
      <c r="E221" s="8" t="n">
        <v>691827</v>
      </c>
      <c r="F221" s="9" t="n">
        <v>29800</v>
      </c>
      <c r="G221" s="9" t="n">
        <v>356233</v>
      </c>
      <c r="H221" s="9" t="n">
        <v>3.7</v>
      </c>
      <c r="I221" s="9" t="n">
        <v>19318.699</v>
      </c>
      <c r="J221" s="7" t="s">
        <v>319</v>
      </c>
    </row>
    <row r="222" customFormat="false" ht="14.25" hidden="false" customHeight="true" outlineLevel="0" collapsed="false">
      <c r="A222" s="10" t="n">
        <v>2019</v>
      </c>
      <c r="B222" s="10" t="s">
        <v>107</v>
      </c>
      <c r="C222" s="10" t="s">
        <v>327</v>
      </c>
      <c r="D222" s="11" t="n">
        <v>1300000</v>
      </c>
      <c r="E222" s="11" t="n">
        <v>900000</v>
      </c>
      <c r="F222" s="12" t="n">
        <v>30000</v>
      </c>
      <c r="G222" s="12" t="n">
        <v>348390</v>
      </c>
      <c r="H222" s="12" t="n">
        <v>4</v>
      </c>
      <c r="I222" s="12" t="n">
        <v>19445.17</v>
      </c>
      <c r="J222" s="10" t="s">
        <v>319</v>
      </c>
    </row>
    <row r="223" customFormat="false" ht="14.25" hidden="false" customHeight="true" outlineLevel="0" collapsed="false">
      <c r="A223" s="7" t="n">
        <v>2019</v>
      </c>
      <c r="B223" s="7" t="s">
        <v>107</v>
      </c>
      <c r="C223" s="7" t="s">
        <v>328</v>
      </c>
      <c r="D223" s="8" t="n">
        <v>1100000</v>
      </c>
      <c r="E223" s="8" t="n">
        <v>750000</v>
      </c>
      <c r="F223" s="9" t="n">
        <v>31000</v>
      </c>
      <c r="G223" s="9" t="n">
        <v>348390</v>
      </c>
      <c r="H223" s="9" t="n">
        <v>4</v>
      </c>
      <c r="I223" s="9" t="n">
        <v>20045.17</v>
      </c>
      <c r="J223" s="7" t="s">
        <v>319</v>
      </c>
    </row>
    <row r="224" customFormat="false" ht="14.25" hidden="false" customHeight="true" outlineLevel="0" collapsed="false">
      <c r="A224" s="10" t="n">
        <v>2019</v>
      </c>
      <c r="B224" s="10" t="s">
        <v>107</v>
      </c>
      <c r="C224" s="10" t="s">
        <v>329</v>
      </c>
      <c r="D224" s="11" t="n">
        <v>1000000</v>
      </c>
      <c r="E224" s="11" t="n">
        <v>650000</v>
      </c>
      <c r="F224" s="12" t="n">
        <v>30500</v>
      </c>
      <c r="G224" s="12" t="n">
        <v>348390</v>
      </c>
      <c r="H224" s="12" t="n">
        <v>4</v>
      </c>
      <c r="I224" s="12" t="n">
        <v>19745.17</v>
      </c>
      <c r="J224" s="10" t="s">
        <v>319</v>
      </c>
    </row>
    <row r="225" customFormat="false" ht="14.25" hidden="false" customHeight="true" outlineLevel="0" collapsed="false">
      <c r="A225" s="7" t="n">
        <v>2019</v>
      </c>
      <c r="B225" s="7" t="s">
        <v>107</v>
      </c>
      <c r="C225" s="7" t="s">
        <v>330</v>
      </c>
      <c r="D225" s="8" t="n">
        <v>1342790</v>
      </c>
      <c r="E225" s="8" t="n">
        <v>717410</v>
      </c>
      <c r="F225" s="9" t="n">
        <v>30800</v>
      </c>
      <c r="G225" s="9" t="n">
        <v>348390</v>
      </c>
      <c r="H225" s="9" t="n">
        <v>4</v>
      </c>
      <c r="I225" s="9" t="n">
        <v>19925.17</v>
      </c>
      <c r="J225" s="7" t="s">
        <v>319</v>
      </c>
    </row>
    <row r="226" customFormat="false" ht="14.25" hidden="false" customHeight="true" outlineLevel="0" collapsed="false">
      <c r="A226" s="10" t="n">
        <v>2019</v>
      </c>
      <c r="B226" s="10" t="s">
        <v>113</v>
      </c>
      <c r="C226" s="10" t="s">
        <v>331</v>
      </c>
      <c r="D226" s="11" t="n">
        <v>1600000</v>
      </c>
      <c r="E226" s="11" t="n">
        <v>900000</v>
      </c>
      <c r="F226" s="12" t="n">
        <v>29000</v>
      </c>
      <c r="G226" s="12" t="n">
        <v>362972</v>
      </c>
      <c r="H226" s="12" t="n">
        <v>4.2</v>
      </c>
      <c r="I226" s="12" t="n">
        <v>18908.916</v>
      </c>
      <c r="J226" s="10" t="s">
        <v>319</v>
      </c>
    </row>
    <row r="227" customFormat="false" ht="14.25" hidden="false" customHeight="true" outlineLevel="0" collapsed="false">
      <c r="A227" s="7" t="n">
        <v>2019</v>
      </c>
      <c r="B227" s="7" t="s">
        <v>113</v>
      </c>
      <c r="C227" s="7" t="s">
        <v>332</v>
      </c>
      <c r="D227" s="8" t="n">
        <v>1400000</v>
      </c>
      <c r="E227" s="8" t="n">
        <v>800000</v>
      </c>
      <c r="F227" s="9" t="n">
        <v>29500</v>
      </c>
      <c r="G227" s="9" t="n">
        <v>362972</v>
      </c>
      <c r="H227" s="9" t="n">
        <v>4.2</v>
      </c>
      <c r="I227" s="9" t="n">
        <v>19208.916</v>
      </c>
      <c r="J227" s="7" t="s">
        <v>319</v>
      </c>
    </row>
    <row r="228" customFormat="false" ht="14.25" hidden="false" customHeight="true" outlineLevel="0" collapsed="false">
      <c r="A228" s="10" t="n">
        <v>2019</v>
      </c>
      <c r="B228" s="10" t="s">
        <v>113</v>
      </c>
      <c r="C228" s="10" t="s">
        <v>333</v>
      </c>
      <c r="D228" s="11" t="n">
        <v>1300000</v>
      </c>
      <c r="E228" s="11" t="n">
        <v>700000</v>
      </c>
      <c r="F228" s="12" t="n">
        <v>30000</v>
      </c>
      <c r="G228" s="12" t="n">
        <v>362972</v>
      </c>
      <c r="H228" s="12" t="n">
        <v>4.2</v>
      </c>
      <c r="I228" s="12" t="n">
        <v>19508.916</v>
      </c>
      <c r="J228" s="10" t="s">
        <v>319</v>
      </c>
    </row>
    <row r="229" customFormat="false" ht="14.25" hidden="false" customHeight="true" outlineLevel="0" collapsed="false">
      <c r="A229" s="7" t="n">
        <v>2019</v>
      </c>
      <c r="B229" s="7" t="s">
        <v>113</v>
      </c>
      <c r="C229" s="7" t="s">
        <v>334</v>
      </c>
      <c r="D229" s="8" t="n">
        <v>1200000</v>
      </c>
      <c r="E229" s="8" t="n">
        <v>600000</v>
      </c>
      <c r="F229" s="9" t="n">
        <v>29800</v>
      </c>
      <c r="G229" s="9" t="n">
        <v>362972</v>
      </c>
      <c r="H229" s="9" t="n">
        <v>4.2</v>
      </c>
      <c r="I229" s="9" t="n">
        <v>19388.916</v>
      </c>
      <c r="J229" s="7" t="s">
        <v>319</v>
      </c>
    </row>
    <row r="230" customFormat="false" ht="14.25" hidden="false" customHeight="true" outlineLevel="0" collapsed="false">
      <c r="A230" s="10" t="n">
        <v>2019</v>
      </c>
      <c r="B230" s="10" t="s">
        <v>113</v>
      </c>
      <c r="C230" s="10" t="s">
        <v>335</v>
      </c>
      <c r="D230" s="11" t="n">
        <v>685939</v>
      </c>
      <c r="E230" s="11" t="n">
        <v>324397</v>
      </c>
      <c r="F230" s="12" t="n">
        <v>29800</v>
      </c>
      <c r="G230" s="12" t="n">
        <v>362972</v>
      </c>
      <c r="H230" s="12" t="n">
        <v>4.2</v>
      </c>
      <c r="I230" s="12" t="n">
        <v>19388.916</v>
      </c>
      <c r="J230" s="10" t="s">
        <v>319</v>
      </c>
    </row>
    <row r="231" customFormat="false" ht="14.25" hidden="false" customHeight="true" outlineLevel="0" collapsed="false">
      <c r="A231" s="7" t="n">
        <v>2019</v>
      </c>
      <c r="B231" s="7" t="s">
        <v>118</v>
      </c>
      <c r="C231" s="7" t="s">
        <v>336</v>
      </c>
      <c r="D231" s="8" t="n">
        <v>1600000</v>
      </c>
      <c r="E231" s="8" t="n">
        <v>600000</v>
      </c>
      <c r="F231" s="9" t="n">
        <v>27000</v>
      </c>
      <c r="G231" s="9" t="n">
        <v>428172</v>
      </c>
      <c r="H231" s="9" t="n">
        <v>4.6</v>
      </c>
      <c r="I231" s="9" t="n">
        <v>17944.516</v>
      </c>
      <c r="J231" s="7" t="s">
        <v>319</v>
      </c>
    </row>
    <row r="232" customFormat="false" ht="14.25" hidden="false" customHeight="true" outlineLevel="0" collapsed="false">
      <c r="A232" s="10" t="n">
        <v>2019</v>
      </c>
      <c r="B232" s="10" t="s">
        <v>118</v>
      </c>
      <c r="C232" s="10" t="s">
        <v>337</v>
      </c>
      <c r="D232" s="11" t="n">
        <v>1400000</v>
      </c>
      <c r="E232" s="11" t="n">
        <v>500000</v>
      </c>
      <c r="F232" s="12" t="n">
        <v>27500</v>
      </c>
      <c r="G232" s="12" t="n">
        <v>428172</v>
      </c>
      <c r="H232" s="12" t="n">
        <v>4.6</v>
      </c>
      <c r="I232" s="12" t="n">
        <v>18244.516</v>
      </c>
      <c r="J232" s="10" t="s">
        <v>319</v>
      </c>
    </row>
    <row r="233" customFormat="false" ht="14.25" hidden="false" customHeight="true" outlineLevel="0" collapsed="false">
      <c r="A233" s="7" t="n">
        <v>2019</v>
      </c>
      <c r="B233" s="7" t="s">
        <v>118</v>
      </c>
      <c r="C233" s="7" t="s">
        <v>338</v>
      </c>
      <c r="D233" s="8" t="n">
        <v>1300000</v>
      </c>
      <c r="E233" s="8" t="n">
        <v>450000</v>
      </c>
      <c r="F233" s="9" t="n">
        <v>27200</v>
      </c>
      <c r="G233" s="9" t="n">
        <v>428172</v>
      </c>
      <c r="H233" s="9" t="n">
        <v>4.6</v>
      </c>
      <c r="I233" s="9" t="n">
        <v>18064.516</v>
      </c>
      <c r="J233" s="7" t="s">
        <v>319</v>
      </c>
    </row>
    <row r="234" customFormat="false" ht="14.25" hidden="false" customHeight="true" outlineLevel="0" collapsed="false">
      <c r="A234" s="10" t="n">
        <v>2019</v>
      </c>
      <c r="B234" s="10" t="s">
        <v>118</v>
      </c>
      <c r="C234" s="10" t="s">
        <v>339</v>
      </c>
      <c r="D234" s="11" t="n">
        <v>1166890</v>
      </c>
      <c r="E234" s="11" t="n">
        <v>513033</v>
      </c>
      <c r="F234" s="12" t="n">
        <v>27800</v>
      </c>
      <c r="G234" s="12" t="n">
        <v>428172</v>
      </c>
      <c r="H234" s="12" t="n">
        <v>4.6</v>
      </c>
      <c r="I234" s="12" t="n">
        <v>18424.516</v>
      </c>
      <c r="J234" s="10" t="s">
        <v>319</v>
      </c>
    </row>
    <row r="235" customFormat="false" ht="14.25" hidden="false" customHeight="true" outlineLevel="0" collapsed="false">
      <c r="A235" s="7" t="n">
        <v>2019</v>
      </c>
      <c r="B235" s="7" t="s">
        <v>123</v>
      </c>
      <c r="C235" s="7" t="s">
        <v>340</v>
      </c>
      <c r="D235" s="8" t="n">
        <v>3500000</v>
      </c>
      <c r="E235" s="8" t="n">
        <v>1600000</v>
      </c>
      <c r="F235" s="9" t="n">
        <v>21000</v>
      </c>
      <c r="G235" s="9" t="n">
        <v>437771</v>
      </c>
      <c r="H235" s="9" t="n">
        <v>4.7</v>
      </c>
      <c r="I235" s="9" t="n">
        <v>14383.313</v>
      </c>
      <c r="J235" s="7" t="s">
        <v>319</v>
      </c>
    </row>
    <row r="236" customFormat="false" ht="14.25" hidden="false" customHeight="true" outlineLevel="0" collapsed="false">
      <c r="A236" s="10" t="n">
        <v>2019</v>
      </c>
      <c r="B236" s="10" t="s">
        <v>123</v>
      </c>
      <c r="C236" s="10" t="s">
        <v>341</v>
      </c>
      <c r="D236" s="11" t="n">
        <v>3000000</v>
      </c>
      <c r="E236" s="11" t="n">
        <v>1400000</v>
      </c>
      <c r="F236" s="12" t="n">
        <v>21500</v>
      </c>
      <c r="G236" s="12" t="n">
        <v>437771</v>
      </c>
      <c r="H236" s="12" t="n">
        <v>4.7</v>
      </c>
      <c r="I236" s="12" t="n">
        <v>14683.313</v>
      </c>
      <c r="J236" s="10" t="s">
        <v>319</v>
      </c>
    </row>
    <row r="237" customFormat="false" ht="14.25" hidden="false" customHeight="true" outlineLevel="0" collapsed="false">
      <c r="A237" s="7" t="n">
        <v>2019</v>
      </c>
      <c r="B237" s="7" t="s">
        <v>123</v>
      </c>
      <c r="C237" s="7" t="s">
        <v>342</v>
      </c>
      <c r="D237" s="8" t="n">
        <v>3200000</v>
      </c>
      <c r="E237" s="8" t="n">
        <v>1500000</v>
      </c>
      <c r="F237" s="9" t="n">
        <v>21200</v>
      </c>
      <c r="G237" s="9" t="n">
        <v>437771</v>
      </c>
      <c r="H237" s="9" t="n">
        <v>4.7</v>
      </c>
      <c r="I237" s="9" t="n">
        <v>14503.313</v>
      </c>
      <c r="J237" s="7" t="s">
        <v>319</v>
      </c>
    </row>
    <row r="238" customFormat="false" ht="14.25" hidden="false" customHeight="true" outlineLevel="0" collapsed="false">
      <c r="A238" s="10" t="n">
        <v>2019</v>
      </c>
      <c r="B238" s="10" t="s">
        <v>123</v>
      </c>
      <c r="C238" s="10" t="s">
        <v>343</v>
      </c>
      <c r="D238" s="11" t="n">
        <v>2800000</v>
      </c>
      <c r="E238" s="11" t="n">
        <v>1300000</v>
      </c>
      <c r="F238" s="12" t="n">
        <v>21800</v>
      </c>
      <c r="G238" s="12" t="n">
        <v>437771</v>
      </c>
      <c r="H238" s="12" t="n">
        <v>4.7</v>
      </c>
      <c r="I238" s="12" t="n">
        <v>14863.313</v>
      </c>
      <c r="J238" s="10" t="s">
        <v>319</v>
      </c>
    </row>
    <row r="239" customFormat="false" ht="14.25" hidden="false" customHeight="true" outlineLevel="0" collapsed="false">
      <c r="A239" s="7" t="n">
        <v>2019</v>
      </c>
      <c r="B239" s="7" t="s">
        <v>129</v>
      </c>
      <c r="C239" s="7" t="s">
        <v>344</v>
      </c>
      <c r="D239" s="8" t="n">
        <v>2122416</v>
      </c>
      <c r="E239" s="8" t="n">
        <v>769569</v>
      </c>
      <c r="F239" s="9" t="n">
        <v>21700</v>
      </c>
      <c r="G239" s="9" t="n">
        <v>382267</v>
      </c>
      <c r="H239" s="9" t="n">
        <v>5.2</v>
      </c>
      <c r="I239" s="9" t="n">
        <v>14686.801</v>
      </c>
      <c r="J239" s="7" t="s">
        <v>319</v>
      </c>
    </row>
    <row r="240" customFormat="false" ht="14.25" hidden="false" customHeight="true" outlineLevel="0" collapsed="false">
      <c r="A240" s="10" t="n">
        <v>2019</v>
      </c>
      <c r="B240" s="10" t="s">
        <v>129</v>
      </c>
      <c r="C240" s="10" t="s">
        <v>345</v>
      </c>
      <c r="D240" s="11" t="n">
        <v>5000000</v>
      </c>
      <c r="E240" s="11" t="n">
        <v>200000</v>
      </c>
      <c r="F240" s="12" t="n">
        <v>24000</v>
      </c>
      <c r="G240" s="12" t="n">
        <v>382267</v>
      </c>
      <c r="H240" s="12" t="n">
        <v>5.2</v>
      </c>
      <c r="I240" s="12" t="n">
        <v>16066.801</v>
      </c>
      <c r="J240" s="10" t="s">
        <v>319</v>
      </c>
    </row>
    <row r="241" customFormat="false" ht="14.25" hidden="false" customHeight="true" outlineLevel="0" collapsed="false">
      <c r="A241" s="7" t="n">
        <v>2019</v>
      </c>
      <c r="B241" s="7" t="s">
        <v>129</v>
      </c>
      <c r="C241" s="7" t="s">
        <v>346</v>
      </c>
      <c r="D241" s="8" t="n">
        <v>4500000</v>
      </c>
      <c r="E241" s="8" t="n">
        <v>180000</v>
      </c>
      <c r="F241" s="9" t="n">
        <v>24500</v>
      </c>
      <c r="G241" s="9" t="n">
        <v>382267</v>
      </c>
      <c r="H241" s="9" t="n">
        <v>5.2</v>
      </c>
      <c r="I241" s="9" t="n">
        <v>16366.801</v>
      </c>
      <c r="J241" s="7" t="s">
        <v>319</v>
      </c>
    </row>
    <row r="242" customFormat="false" ht="14.25" hidden="false" customHeight="true" outlineLevel="0" collapsed="false">
      <c r="A242" s="10" t="n">
        <v>2019</v>
      </c>
      <c r="B242" s="10" t="s">
        <v>129</v>
      </c>
      <c r="C242" s="10" t="s">
        <v>347</v>
      </c>
      <c r="D242" s="11" t="n">
        <v>4200000</v>
      </c>
      <c r="E242" s="11" t="n">
        <v>150000</v>
      </c>
      <c r="F242" s="12" t="n">
        <v>24200</v>
      </c>
      <c r="G242" s="12" t="n">
        <v>382267</v>
      </c>
      <c r="H242" s="12" t="n">
        <v>5.2</v>
      </c>
      <c r="I242" s="12" t="n">
        <v>16186.801</v>
      </c>
      <c r="J242" s="10" t="s">
        <v>319</v>
      </c>
    </row>
    <row r="243" customFormat="false" ht="14.25" hidden="false" customHeight="true" outlineLevel="0" collapsed="false">
      <c r="A243" s="7" t="n">
        <v>2019</v>
      </c>
      <c r="B243" s="7" t="s">
        <v>129</v>
      </c>
      <c r="C243" s="7" t="s">
        <v>348</v>
      </c>
      <c r="D243" s="8" t="n">
        <v>4000000</v>
      </c>
      <c r="E243" s="8" t="n">
        <v>130000</v>
      </c>
      <c r="F243" s="9" t="n">
        <v>24800</v>
      </c>
      <c r="G243" s="9" t="n">
        <v>382267</v>
      </c>
      <c r="H243" s="9" t="n">
        <v>5.2</v>
      </c>
      <c r="I243" s="9" t="n">
        <v>16546.801</v>
      </c>
      <c r="J243" s="7" t="s">
        <v>319</v>
      </c>
    </row>
    <row r="244" customFormat="false" ht="14.25" hidden="false" customHeight="true" outlineLevel="0" collapsed="false">
      <c r="A244" s="10" t="n">
        <v>2019</v>
      </c>
      <c r="B244" s="10" t="s">
        <v>134</v>
      </c>
      <c r="C244" s="10" t="s">
        <v>349</v>
      </c>
      <c r="D244" s="11" t="n">
        <v>3377963</v>
      </c>
      <c r="E244" s="11" t="n">
        <v>761673</v>
      </c>
      <c r="F244" s="12" t="n">
        <v>25000</v>
      </c>
      <c r="G244" s="12" t="n">
        <v>374251</v>
      </c>
      <c r="H244" s="12" t="n">
        <v>5.4</v>
      </c>
      <c r="I244" s="12" t="n">
        <v>16662.753</v>
      </c>
      <c r="J244" s="10" t="s">
        <v>319</v>
      </c>
    </row>
    <row r="245" customFormat="false" ht="14.25" hidden="false" customHeight="true" outlineLevel="0" collapsed="false">
      <c r="A245" s="7" t="n">
        <v>2019</v>
      </c>
      <c r="B245" s="7" t="s">
        <v>134</v>
      </c>
      <c r="C245" s="7" t="s">
        <v>350</v>
      </c>
      <c r="D245" s="8" t="n">
        <v>5000000</v>
      </c>
      <c r="E245" s="8" t="n">
        <v>1000000</v>
      </c>
      <c r="F245" s="9" t="n">
        <v>21000</v>
      </c>
      <c r="G245" s="9" t="n">
        <v>374251</v>
      </c>
      <c r="H245" s="9" t="n">
        <v>5.4</v>
      </c>
      <c r="I245" s="9" t="n">
        <v>14262.753</v>
      </c>
      <c r="J245" s="7" t="s">
        <v>319</v>
      </c>
    </row>
    <row r="246" customFormat="false" ht="14.25" hidden="false" customHeight="true" outlineLevel="0" collapsed="false">
      <c r="A246" s="10" t="n">
        <v>2019</v>
      </c>
      <c r="B246" s="10" t="s">
        <v>134</v>
      </c>
      <c r="C246" s="10" t="s">
        <v>351</v>
      </c>
      <c r="D246" s="11" t="n">
        <v>4500000</v>
      </c>
      <c r="E246" s="11" t="n">
        <v>900000</v>
      </c>
      <c r="F246" s="12" t="n">
        <v>21500</v>
      </c>
      <c r="G246" s="12" t="n">
        <v>374251</v>
      </c>
      <c r="H246" s="12" t="n">
        <v>5.4</v>
      </c>
      <c r="I246" s="12" t="n">
        <v>14562.753</v>
      </c>
      <c r="J246" s="10" t="s">
        <v>319</v>
      </c>
    </row>
    <row r="247" customFormat="false" ht="14.25" hidden="false" customHeight="true" outlineLevel="0" collapsed="false">
      <c r="A247" s="7" t="n">
        <v>2019</v>
      </c>
      <c r="B247" s="7" t="s">
        <v>134</v>
      </c>
      <c r="C247" s="7" t="s">
        <v>352</v>
      </c>
      <c r="D247" s="8" t="n">
        <v>4200000</v>
      </c>
      <c r="E247" s="8" t="n">
        <v>800000</v>
      </c>
      <c r="F247" s="9" t="n">
        <v>21200</v>
      </c>
      <c r="G247" s="9" t="n">
        <v>374251</v>
      </c>
      <c r="H247" s="9" t="n">
        <v>5.4</v>
      </c>
      <c r="I247" s="9" t="n">
        <v>14382.753</v>
      </c>
      <c r="J247" s="7" t="s">
        <v>319</v>
      </c>
    </row>
    <row r="248" customFormat="false" ht="14.25" hidden="false" customHeight="true" outlineLevel="0" collapsed="false">
      <c r="A248" s="10" t="n">
        <v>2019</v>
      </c>
      <c r="B248" s="10" t="s">
        <v>140</v>
      </c>
      <c r="C248" s="10" t="s">
        <v>353</v>
      </c>
      <c r="D248" s="11" t="n">
        <v>4000000</v>
      </c>
      <c r="E248" s="11" t="n">
        <v>750000</v>
      </c>
      <c r="F248" s="12" t="n">
        <v>21800</v>
      </c>
      <c r="G248" s="12" t="n">
        <v>389081</v>
      </c>
      <c r="H248" s="12" t="n">
        <v>5.8</v>
      </c>
      <c r="I248" s="12" t="n">
        <v>14827.243</v>
      </c>
      <c r="J248" s="10" t="s">
        <v>319</v>
      </c>
    </row>
    <row r="249" customFormat="false" ht="14.25" hidden="false" customHeight="true" outlineLevel="0" collapsed="false">
      <c r="A249" s="7" t="n">
        <v>2019</v>
      </c>
      <c r="B249" s="7" t="s">
        <v>140</v>
      </c>
      <c r="C249" s="7" t="s">
        <v>354</v>
      </c>
      <c r="D249" s="8" t="n">
        <v>3450511</v>
      </c>
      <c r="E249" s="8" t="n">
        <v>930648</v>
      </c>
      <c r="F249" s="9" t="n">
        <v>22000</v>
      </c>
      <c r="G249" s="9" t="n">
        <v>389081</v>
      </c>
      <c r="H249" s="9" t="n">
        <v>5.8</v>
      </c>
      <c r="I249" s="9" t="n">
        <v>14947.243</v>
      </c>
      <c r="J249" s="7" t="s">
        <v>319</v>
      </c>
    </row>
    <row r="250" customFormat="false" ht="14.25" hidden="false" customHeight="true" outlineLevel="0" collapsed="false">
      <c r="A250" s="10" t="n">
        <v>2019</v>
      </c>
      <c r="B250" s="10" t="s">
        <v>140</v>
      </c>
      <c r="C250" s="10" t="s">
        <v>355</v>
      </c>
      <c r="D250" s="11" t="n">
        <v>3200000</v>
      </c>
      <c r="E250" s="11" t="n">
        <v>1200000</v>
      </c>
      <c r="F250" s="12" t="n">
        <v>21500</v>
      </c>
      <c r="G250" s="12" t="n">
        <v>389081</v>
      </c>
      <c r="H250" s="12" t="n">
        <v>5.8</v>
      </c>
      <c r="I250" s="12" t="n">
        <v>14647.243</v>
      </c>
      <c r="J250" s="10" t="s">
        <v>319</v>
      </c>
    </row>
    <row r="251" customFormat="false" ht="14.25" hidden="false" customHeight="true" outlineLevel="0" collapsed="false">
      <c r="A251" s="7" t="n">
        <v>2019</v>
      </c>
      <c r="B251" s="7" t="s">
        <v>140</v>
      </c>
      <c r="C251" s="7" t="s">
        <v>356</v>
      </c>
      <c r="D251" s="8" t="n">
        <v>2800000</v>
      </c>
      <c r="E251" s="8" t="n">
        <v>1000000</v>
      </c>
      <c r="F251" s="9" t="n">
        <v>22000</v>
      </c>
      <c r="G251" s="9" t="n">
        <v>389081</v>
      </c>
      <c r="H251" s="9" t="n">
        <v>5.8</v>
      </c>
      <c r="I251" s="9" t="n">
        <v>14947.243</v>
      </c>
      <c r="J251" s="7" t="s">
        <v>319</v>
      </c>
    </row>
    <row r="252" customFormat="false" ht="14.25" hidden="false" customHeight="true" outlineLevel="0" collapsed="false">
      <c r="A252" s="10" t="n">
        <v>2019</v>
      </c>
      <c r="B252" s="10" t="s">
        <v>140</v>
      </c>
      <c r="C252" s="10" t="s">
        <v>357</v>
      </c>
      <c r="D252" s="11" t="n">
        <v>2600000</v>
      </c>
      <c r="E252" s="11" t="n">
        <v>900000</v>
      </c>
      <c r="F252" s="12" t="n">
        <v>21800</v>
      </c>
      <c r="G252" s="12" t="n">
        <v>389081</v>
      </c>
      <c r="H252" s="12" t="n">
        <v>5.8</v>
      </c>
      <c r="I252" s="12" t="n">
        <v>14827.243</v>
      </c>
      <c r="J252" s="10" t="s">
        <v>319</v>
      </c>
    </row>
    <row r="253" customFormat="false" ht="14.25" hidden="false" customHeight="true" outlineLevel="0" collapsed="false">
      <c r="A253" s="7" t="n">
        <v>2019</v>
      </c>
      <c r="B253" s="7" t="s">
        <v>145</v>
      </c>
      <c r="C253" s="7" t="s">
        <v>358</v>
      </c>
      <c r="D253" s="8" t="n">
        <v>2400000</v>
      </c>
      <c r="E253" s="8" t="n">
        <v>800000</v>
      </c>
      <c r="F253" s="9" t="n">
        <v>22200</v>
      </c>
      <c r="G253" s="9" t="n">
        <v>384958</v>
      </c>
      <c r="H253" s="9" t="n">
        <v>6</v>
      </c>
      <c r="I253" s="9" t="n">
        <v>15074.874</v>
      </c>
      <c r="J253" s="7" t="s">
        <v>319</v>
      </c>
    </row>
    <row r="254" customFormat="false" ht="14.25" hidden="false" customHeight="true" outlineLevel="0" collapsed="false">
      <c r="A254" s="10" t="n">
        <v>2019</v>
      </c>
      <c r="B254" s="10" t="s">
        <v>145</v>
      </c>
      <c r="C254" s="10" t="s">
        <v>359</v>
      </c>
      <c r="D254" s="11" t="n">
        <v>2048341</v>
      </c>
      <c r="E254" s="11" t="n">
        <v>574234</v>
      </c>
      <c r="F254" s="12" t="n">
        <v>21800</v>
      </c>
      <c r="G254" s="12" t="n">
        <v>384958</v>
      </c>
      <c r="H254" s="12" t="n">
        <v>6</v>
      </c>
      <c r="I254" s="12" t="n">
        <v>14834.874</v>
      </c>
      <c r="J254" s="10" t="s">
        <v>319</v>
      </c>
    </row>
    <row r="255" customFormat="false" ht="14.25" hidden="false" customHeight="true" outlineLevel="0" collapsed="false">
      <c r="A255" s="7" t="n">
        <v>2019</v>
      </c>
      <c r="B255" s="7" t="s">
        <v>145</v>
      </c>
      <c r="C255" s="7" t="s">
        <v>360</v>
      </c>
      <c r="D255" s="8" t="n">
        <v>2200000</v>
      </c>
      <c r="E255" s="8" t="n">
        <v>800000</v>
      </c>
      <c r="F255" s="9" t="n">
        <v>22000</v>
      </c>
      <c r="G255" s="9" t="n">
        <v>384958</v>
      </c>
      <c r="H255" s="9" t="n">
        <v>6</v>
      </c>
      <c r="I255" s="9" t="n">
        <v>14954.874</v>
      </c>
      <c r="J255" s="7" t="s">
        <v>319</v>
      </c>
    </row>
    <row r="256" customFormat="false" ht="14.25" hidden="false" customHeight="true" outlineLevel="0" collapsed="false">
      <c r="A256" s="10" t="n">
        <v>2019</v>
      </c>
      <c r="B256" s="10" t="s">
        <v>145</v>
      </c>
      <c r="C256" s="10" t="s">
        <v>361</v>
      </c>
      <c r="D256" s="11" t="n">
        <v>2000000</v>
      </c>
      <c r="E256" s="11" t="n">
        <v>700000</v>
      </c>
      <c r="F256" s="12" t="n">
        <v>22500</v>
      </c>
      <c r="G256" s="12" t="n">
        <v>384958</v>
      </c>
      <c r="H256" s="12" t="n">
        <v>6</v>
      </c>
      <c r="I256" s="12" t="n">
        <v>15254.874</v>
      </c>
      <c r="J256" s="10" t="s">
        <v>319</v>
      </c>
    </row>
    <row r="257" customFormat="false" ht="14.25" hidden="false" customHeight="true" outlineLevel="0" collapsed="false">
      <c r="A257" s="7" t="n">
        <v>2019</v>
      </c>
      <c r="B257" s="7" t="s">
        <v>150</v>
      </c>
      <c r="C257" s="7" t="s">
        <v>362</v>
      </c>
      <c r="D257" s="8" t="n">
        <v>1900000</v>
      </c>
      <c r="E257" s="8" t="n">
        <v>650000</v>
      </c>
      <c r="F257" s="9" t="n">
        <v>22200</v>
      </c>
      <c r="G257" s="9" t="n">
        <v>374145</v>
      </c>
      <c r="H257" s="9" t="n">
        <v>5.6</v>
      </c>
      <c r="I257" s="9" t="n">
        <v>15002.435</v>
      </c>
      <c r="J257" s="7" t="s">
        <v>319</v>
      </c>
    </row>
    <row r="258" customFormat="false" ht="14.25" hidden="false" customHeight="true" outlineLevel="0" collapsed="false">
      <c r="A258" s="10" t="n">
        <v>2019</v>
      </c>
      <c r="B258" s="10" t="s">
        <v>150</v>
      </c>
      <c r="C258" s="10" t="s">
        <v>363</v>
      </c>
      <c r="D258" s="11" t="n">
        <v>1962629</v>
      </c>
      <c r="E258" s="11" t="n">
        <v>599559</v>
      </c>
      <c r="F258" s="12" t="n">
        <v>22600</v>
      </c>
      <c r="G258" s="12" t="n">
        <v>374145</v>
      </c>
      <c r="H258" s="12" t="n">
        <v>5.6</v>
      </c>
      <c r="I258" s="12" t="n">
        <v>15242.435</v>
      </c>
      <c r="J258" s="10" t="s">
        <v>319</v>
      </c>
    </row>
    <row r="259" customFormat="false" ht="14.25" hidden="false" customHeight="true" outlineLevel="0" collapsed="false">
      <c r="A259" s="7" t="n">
        <v>2019</v>
      </c>
      <c r="B259" s="7" t="s">
        <v>150</v>
      </c>
      <c r="C259" s="7" t="s">
        <v>364</v>
      </c>
      <c r="D259" s="8" t="n">
        <v>1600000</v>
      </c>
      <c r="E259" s="8" t="n">
        <v>1100000</v>
      </c>
      <c r="F259" s="9" t="n">
        <v>29000</v>
      </c>
      <c r="G259" s="9" t="n">
        <v>374145</v>
      </c>
      <c r="H259" s="9" t="n">
        <v>5.6</v>
      </c>
      <c r="I259" s="9" t="n">
        <v>19082.435</v>
      </c>
      <c r="J259" s="7" t="s">
        <v>319</v>
      </c>
    </row>
    <row r="260" customFormat="false" ht="14.25" hidden="false" customHeight="true" outlineLevel="0" collapsed="false">
      <c r="A260" s="10" t="n">
        <v>2019</v>
      </c>
      <c r="B260" s="10" t="s">
        <v>150</v>
      </c>
      <c r="C260" s="10" t="s">
        <v>365</v>
      </c>
      <c r="D260" s="11" t="n">
        <v>1400000</v>
      </c>
      <c r="E260" s="11" t="n">
        <v>900000</v>
      </c>
      <c r="F260" s="12" t="n">
        <v>29500</v>
      </c>
      <c r="G260" s="12" t="n">
        <v>374145</v>
      </c>
      <c r="H260" s="12" t="n">
        <v>5.6</v>
      </c>
      <c r="I260" s="12" t="n">
        <v>19382.435</v>
      </c>
      <c r="J260" s="10" t="s">
        <v>319</v>
      </c>
    </row>
    <row r="261" customFormat="false" ht="14.25" hidden="false" customHeight="true" outlineLevel="0" collapsed="false">
      <c r="A261" s="7" t="n">
        <v>2019</v>
      </c>
      <c r="B261" s="7" t="s">
        <v>156</v>
      </c>
      <c r="C261" s="7" t="s">
        <v>366</v>
      </c>
      <c r="D261" s="8" t="n">
        <v>1300000</v>
      </c>
      <c r="E261" s="8" t="n">
        <v>800000</v>
      </c>
      <c r="F261" s="9" t="n">
        <v>29200</v>
      </c>
      <c r="G261" s="9" t="n">
        <v>370417</v>
      </c>
      <c r="H261" s="9" t="n">
        <v>5.4</v>
      </c>
      <c r="I261" s="9" t="n">
        <v>19171.251</v>
      </c>
      <c r="J261" s="7" t="s">
        <v>319</v>
      </c>
    </row>
    <row r="262" customFormat="false" ht="14.25" hidden="false" customHeight="true" outlineLevel="0" collapsed="false">
      <c r="A262" s="10" t="n">
        <v>2019</v>
      </c>
      <c r="B262" s="10" t="s">
        <v>156</v>
      </c>
      <c r="C262" s="10" t="s">
        <v>367</v>
      </c>
      <c r="D262" s="11" t="n">
        <v>1200000</v>
      </c>
      <c r="E262" s="11" t="n">
        <v>750000</v>
      </c>
      <c r="F262" s="12" t="n">
        <v>29800</v>
      </c>
      <c r="G262" s="12" t="n">
        <v>370417</v>
      </c>
      <c r="H262" s="12" t="n">
        <v>5.4</v>
      </c>
      <c r="I262" s="12" t="n">
        <v>19531.251</v>
      </c>
      <c r="J262" s="10" t="s">
        <v>319</v>
      </c>
    </row>
    <row r="263" customFormat="false" ht="14.25" hidden="false" customHeight="true" outlineLevel="0" collapsed="false">
      <c r="A263" s="7" t="n">
        <v>2019</v>
      </c>
      <c r="B263" s="7" t="s">
        <v>156</v>
      </c>
      <c r="C263" s="7" t="s">
        <v>368</v>
      </c>
      <c r="D263" s="8" t="n">
        <v>871142</v>
      </c>
      <c r="E263" s="8" t="n">
        <v>567430</v>
      </c>
      <c r="F263" s="9" t="n">
        <v>30000</v>
      </c>
      <c r="G263" s="9" t="n">
        <v>370417</v>
      </c>
      <c r="H263" s="9" t="n">
        <v>5.4</v>
      </c>
      <c r="I263" s="9" t="n">
        <v>19651.251</v>
      </c>
      <c r="J263" s="7" t="s">
        <v>319</v>
      </c>
    </row>
    <row r="264" customFormat="false" ht="14.25" hidden="false" customHeight="true" outlineLevel="0" collapsed="false">
      <c r="A264" s="10" t="n">
        <v>2019</v>
      </c>
      <c r="B264" s="10" t="s">
        <v>156</v>
      </c>
      <c r="C264" s="10" t="s">
        <v>369</v>
      </c>
      <c r="D264" s="11" t="n">
        <v>1200000</v>
      </c>
      <c r="E264" s="11" t="n">
        <v>800000</v>
      </c>
      <c r="F264" s="12" t="n">
        <v>31500</v>
      </c>
      <c r="G264" s="12" t="n">
        <v>370417</v>
      </c>
      <c r="H264" s="12" t="n">
        <v>5.4</v>
      </c>
      <c r="I264" s="12" t="n">
        <v>20551.251</v>
      </c>
      <c r="J264" s="10" t="s">
        <v>319</v>
      </c>
    </row>
    <row r="265" customFormat="false" ht="14.25" hidden="false" customHeight="true" outlineLevel="0" collapsed="false">
      <c r="A265" s="7" t="n">
        <v>2019</v>
      </c>
      <c r="B265" s="7" t="s">
        <v>156</v>
      </c>
      <c r="C265" s="7" t="s">
        <v>370</v>
      </c>
      <c r="D265" s="8" t="n">
        <v>1100000</v>
      </c>
      <c r="E265" s="8" t="n">
        <v>700000</v>
      </c>
      <c r="F265" s="9" t="n">
        <v>32000</v>
      </c>
      <c r="G265" s="9" t="n">
        <v>370417</v>
      </c>
      <c r="H265" s="9" t="n">
        <v>5.4</v>
      </c>
      <c r="I265" s="9" t="n">
        <v>20851.251</v>
      </c>
      <c r="J265" s="7" t="s">
        <v>319</v>
      </c>
    </row>
    <row r="266" customFormat="false" ht="14.25" hidden="false" customHeight="true" outlineLevel="0" collapsed="false">
      <c r="A266" s="10" t="n">
        <v>2020</v>
      </c>
      <c r="B266" s="10" t="s">
        <v>96</v>
      </c>
      <c r="C266" s="10" t="s">
        <v>371</v>
      </c>
      <c r="D266" s="11" t="n">
        <v>1274374</v>
      </c>
      <c r="E266" s="11" t="n">
        <v>1134618</v>
      </c>
      <c r="F266" s="12" t="n">
        <v>42392.68</v>
      </c>
      <c r="G266" s="12" t="n">
        <v>368095.24</v>
      </c>
      <c r="H266" s="12" t="n">
        <v>7.6</v>
      </c>
      <c r="I266" s="12" t="n">
        <v>27299.89372</v>
      </c>
      <c r="J266" s="10" t="s">
        <v>319</v>
      </c>
    </row>
    <row r="267" customFormat="false" ht="14.25" hidden="false" customHeight="true" outlineLevel="0" collapsed="false">
      <c r="A267" s="7" t="n">
        <v>2020</v>
      </c>
      <c r="B267" s="7" t="s">
        <v>96</v>
      </c>
      <c r="C267" s="7" t="s">
        <v>372</v>
      </c>
      <c r="D267" s="8" t="n">
        <v>901611</v>
      </c>
      <c r="E267" s="8" t="n">
        <v>783792</v>
      </c>
      <c r="F267" s="9" t="n">
        <v>43305.56</v>
      </c>
      <c r="G267" s="9" t="n">
        <v>368095.24</v>
      </c>
      <c r="H267" s="9" t="n">
        <v>7.6</v>
      </c>
      <c r="I267" s="9" t="n">
        <v>27847.62172</v>
      </c>
      <c r="J267" s="7" t="s">
        <v>319</v>
      </c>
    </row>
    <row r="268" customFormat="false" ht="14.25" hidden="false" customHeight="true" outlineLevel="0" collapsed="false">
      <c r="A268" s="10" t="n">
        <v>2020</v>
      </c>
      <c r="B268" s="10" t="s">
        <v>96</v>
      </c>
      <c r="C268" s="10" t="s">
        <v>373</v>
      </c>
      <c r="D268" s="11" t="n">
        <v>414263</v>
      </c>
      <c r="E268" s="11" t="n">
        <v>322352</v>
      </c>
      <c r="F268" s="12" t="n">
        <v>45265.05</v>
      </c>
      <c r="G268" s="12" t="n">
        <v>368095.24</v>
      </c>
      <c r="H268" s="12" t="n">
        <v>7.6</v>
      </c>
      <c r="I268" s="12" t="n">
        <v>29023.31572</v>
      </c>
      <c r="J268" s="10" t="s">
        <v>319</v>
      </c>
    </row>
    <row r="269" customFormat="false" ht="14.25" hidden="false" customHeight="true" outlineLevel="0" collapsed="false">
      <c r="A269" s="7" t="n">
        <v>2020</v>
      </c>
      <c r="B269" s="7" t="s">
        <v>96</v>
      </c>
      <c r="C269" s="7" t="s">
        <v>374</v>
      </c>
      <c r="D269" s="8" t="n">
        <v>552299</v>
      </c>
      <c r="E269" s="8" t="n">
        <v>503068</v>
      </c>
      <c r="F269" s="9" t="n">
        <v>48077.6</v>
      </c>
      <c r="G269" s="9" t="n">
        <v>368095.24</v>
      </c>
      <c r="H269" s="9" t="n">
        <v>7.6</v>
      </c>
      <c r="I269" s="9" t="n">
        <v>30710.84572</v>
      </c>
      <c r="J269" s="7" t="s">
        <v>319</v>
      </c>
    </row>
    <row r="270" customFormat="false" ht="14.25" hidden="false" customHeight="true" outlineLevel="0" collapsed="false">
      <c r="A270" s="10" t="n">
        <v>2020</v>
      </c>
      <c r="B270" s="10" t="s">
        <v>96</v>
      </c>
      <c r="C270" s="10" t="s">
        <v>375</v>
      </c>
      <c r="D270" s="11" t="n">
        <v>667831</v>
      </c>
      <c r="E270" s="11" t="n">
        <v>492809</v>
      </c>
      <c r="F270" s="12" t="n">
        <v>49382.44</v>
      </c>
      <c r="G270" s="12" t="n">
        <v>368095.24</v>
      </c>
      <c r="H270" s="12" t="n">
        <v>7.6</v>
      </c>
      <c r="I270" s="12" t="n">
        <v>31493.74972</v>
      </c>
      <c r="J270" s="10" t="s">
        <v>319</v>
      </c>
    </row>
    <row r="271" customFormat="false" ht="14.25" hidden="false" customHeight="true" outlineLevel="0" collapsed="false">
      <c r="A271" s="7" t="n">
        <v>2020</v>
      </c>
      <c r="B271" s="7" t="s">
        <v>102</v>
      </c>
      <c r="C271" s="7" t="s">
        <v>376</v>
      </c>
      <c r="D271" s="8" t="n">
        <v>996490</v>
      </c>
      <c r="E271" s="8" t="n">
        <v>701222</v>
      </c>
      <c r="F271" s="9" t="n">
        <v>46969.33</v>
      </c>
      <c r="G271" s="9" t="n">
        <v>377777.78</v>
      </c>
      <c r="H271" s="9" t="n">
        <v>7.1</v>
      </c>
      <c r="I271" s="9" t="n">
        <v>30024.93134</v>
      </c>
      <c r="J271" s="7" t="s">
        <v>319</v>
      </c>
    </row>
    <row r="272" customFormat="false" ht="14.25" hidden="false" customHeight="true" outlineLevel="0" collapsed="false">
      <c r="A272" s="10" t="n">
        <v>2020</v>
      </c>
      <c r="B272" s="10" t="s">
        <v>102</v>
      </c>
      <c r="C272" s="10" t="s">
        <v>377</v>
      </c>
      <c r="D272" s="11" t="n">
        <v>432796</v>
      </c>
      <c r="E272" s="11" t="n">
        <v>310791</v>
      </c>
      <c r="F272" s="12" t="n">
        <v>42977.15</v>
      </c>
      <c r="G272" s="12" t="n">
        <v>377777.78</v>
      </c>
      <c r="H272" s="12" t="n">
        <v>7.1</v>
      </c>
      <c r="I272" s="12" t="n">
        <v>27629.62334</v>
      </c>
      <c r="J272" s="10" t="s">
        <v>319</v>
      </c>
    </row>
    <row r="273" customFormat="false" ht="14.25" hidden="false" customHeight="true" outlineLevel="0" collapsed="false">
      <c r="A273" s="7" t="n">
        <v>2020</v>
      </c>
      <c r="B273" s="7" t="s">
        <v>102</v>
      </c>
      <c r="C273" s="7" t="s">
        <v>378</v>
      </c>
      <c r="D273" s="8" t="n">
        <v>699523</v>
      </c>
      <c r="E273" s="8" t="n">
        <v>610403</v>
      </c>
      <c r="F273" s="9" t="n">
        <v>44881.6</v>
      </c>
      <c r="G273" s="9" t="n">
        <v>377777.78</v>
      </c>
      <c r="H273" s="9" t="n">
        <v>7.1</v>
      </c>
      <c r="I273" s="9" t="n">
        <v>28772.29334</v>
      </c>
      <c r="J273" s="7" t="s">
        <v>319</v>
      </c>
    </row>
    <row r="274" customFormat="false" ht="14.25" hidden="false" customHeight="true" outlineLevel="0" collapsed="false">
      <c r="A274" s="10" t="n">
        <v>2020</v>
      </c>
      <c r="B274" s="10" t="s">
        <v>102</v>
      </c>
      <c r="C274" s="10" t="s">
        <v>379</v>
      </c>
      <c r="D274" s="11" t="n">
        <v>709150</v>
      </c>
      <c r="E274" s="11" t="n">
        <v>417066</v>
      </c>
      <c r="F274" s="12" t="n">
        <v>45454.64</v>
      </c>
      <c r="G274" s="12" t="n">
        <v>377777.78</v>
      </c>
      <c r="H274" s="12" t="n">
        <v>7.1</v>
      </c>
      <c r="I274" s="12" t="n">
        <v>29116.11734</v>
      </c>
      <c r="J274" s="10" t="s">
        <v>319</v>
      </c>
    </row>
    <row r="275" customFormat="false" ht="14.25" hidden="false" customHeight="true" outlineLevel="0" collapsed="false">
      <c r="A275" s="7" t="n">
        <v>2020</v>
      </c>
      <c r="B275" s="7" t="s">
        <v>107</v>
      </c>
      <c r="C275" s="7" t="s">
        <v>380</v>
      </c>
      <c r="D275" s="8" t="n">
        <v>1077573</v>
      </c>
      <c r="E275" s="8" t="n">
        <v>695909</v>
      </c>
      <c r="F275" s="9" t="n">
        <v>46130.63</v>
      </c>
      <c r="G275" s="9" t="n">
        <v>365000</v>
      </c>
      <c r="H275" s="9" t="n">
        <v>6.7</v>
      </c>
      <c r="I275" s="9" t="n">
        <v>29443.378</v>
      </c>
      <c r="J275" s="7" t="s">
        <v>319</v>
      </c>
    </row>
    <row r="276" customFormat="false" ht="14.25" hidden="false" customHeight="true" outlineLevel="0" collapsed="false">
      <c r="A276" s="10" t="n">
        <v>2020</v>
      </c>
      <c r="B276" s="10" t="s">
        <v>107</v>
      </c>
      <c r="C276" s="10" t="s">
        <v>381</v>
      </c>
      <c r="D276" s="11" t="n">
        <v>920116</v>
      </c>
      <c r="E276" s="11" t="n">
        <v>647936</v>
      </c>
      <c r="F276" s="12" t="n">
        <v>45500.46</v>
      </c>
      <c r="G276" s="12" t="n">
        <v>365000</v>
      </c>
      <c r="H276" s="12" t="n">
        <v>6.7</v>
      </c>
      <c r="I276" s="12" t="n">
        <v>29065.276</v>
      </c>
      <c r="J276" s="10" t="s">
        <v>319</v>
      </c>
    </row>
    <row r="277" customFormat="false" ht="14.25" hidden="false" customHeight="true" outlineLevel="0" collapsed="false">
      <c r="A277" s="7" t="n">
        <v>2020</v>
      </c>
      <c r="B277" s="7" t="s">
        <v>113</v>
      </c>
      <c r="C277" s="7" t="s">
        <v>382</v>
      </c>
      <c r="D277" s="8" t="n">
        <v>1997689</v>
      </c>
      <c r="E277" s="8" t="n">
        <v>1348845</v>
      </c>
      <c r="F277" s="9" t="n">
        <v>45815.55</v>
      </c>
      <c r="G277" s="9" t="n">
        <v>475663</v>
      </c>
      <c r="H277" s="9" t="n">
        <v>6</v>
      </c>
      <c r="I277" s="9" t="n">
        <v>29516.319</v>
      </c>
      <c r="J277" s="7" t="s">
        <v>319</v>
      </c>
    </row>
    <row r="278" customFormat="false" ht="14.25" hidden="false" customHeight="true" outlineLevel="0" collapsed="false">
      <c r="A278" s="10" t="n">
        <v>2020</v>
      </c>
      <c r="B278" s="10" t="s">
        <v>113</v>
      </c>
      <c r="C278" s="10" t="s">
        <v>383</v>
      </c>
      <c r="D278" s="11" t="n">
        <v>1390837</v>
      </c>
      <c r="E278" s="11" t="n">
        <v>500044</v>
      </c>
      <c r="F278" s="12" t="n">
        <v>38215.73</v>
      </c>
      <c r="G278" s="12" t="n">
        <v>475663</v>
      </c>
      <c r="H278" s="12" t="n">
        <v>6</v>
      </c>
      <c r="I278" s="12" t="n">
        <v>24956.427</v>
      </c>
      <c r="J278" s="10" t="s">
        <v>319</v>
      </c>
    </row>
    <row r="279" customFormat="false" ht="14.25" hidden="false" customHeight="true" outlineLevel="0" collapsed="false">
      <c r="A279" s="7" t="n">
        <v>2020</v>
      </c>
      <c r="B279" s="7" t="s">
        <v>113</v>
      </c>
      <c r="C279" s="7" t="s">
        <v>384</v>
      </c>
      <c r="D279" s="8" t="n">
        <v>1520672</v>
      </c>
      <c r="E279" s="8" t="n">
        <v>1149016</v>
      </c>
      <c r="F279" s="9" t="n">
        <v>41070.77</v>
      </c>
      <c r="G279" s="9" t="n">
        <v>475663</v>
      </c>
      <c r="H279" s="9" t="n">
        <v>6</v>
      </c>
      <c r="I279" s="9" t="n">
        <v>26669.451</v>
      </c>
      <c r="J279" s="7" t="s">
        <v>319</v>
      </c>
    </row>
    <row r="280" customFormat="false" ht="14.25" hidden="false" customHeight="true" outlineLevel="0" collapsed="false">
      <c r="A280" s="10" t="n">
        <v>2020</v>
      </c>
      <c r="B280" s="10" t="s">
        <v>113</v>
      </c>
      <c r="C280" s="10" t="s">
        <v>385</v>
      </c>
      <c r="D280" s="11" t="n">
        <v>1196775</v>
      </c>
      <c r="E280" s="11" t="n">
        <v>958984</v>
      </c>
      <c r="F280" s="12" t="n">
        <v>43387.52</v>
      </c>
      <c r="G280" s="12" t="n">
        <v>475663</v>
      </c>
      <c r="H280" s="12" t="n">
        <v>6</v>
      </c>
      <c r="I280" s="12" t="n">
        <v>28059.501</v>
      </c>
      <c r="J280" s="10" t="s">
        <v>319</v>
      </c>
    </row>
    <row r="281" customFormat="false" ht="14.25" hidden="false" customHeight="true" outlineLevel="0" collapsed="false">
      <c r="A281" s="7" t="n">
        <v>2020</v>
      </c>
      <c r="B281" s="7" t="s">
        <v>118</v>
      </c>
      <c r="C281" s="7" t="s">
        <v>386</v>
      </c>
      <c r="D281" s="8" t="n">
        <v>1470149</v>
      </c>
      <c r="E281" s="8" t="n">
        <v>1238093</v>
      </c>
      <c r="F281" s="9" t="n">
        <v>44240.57</v>
      </c>
      <c r="G281" s="9" t="n">
        <v>487058.82</v>
      </c>
      <c r="H281" s="9" t="n">
        <v>5.2</v>
      </c>
      <c r="I281" s="9" t="n">
        <v>28525.51846</v>
      </c>
      <c r="J281" s="7" t="s">
        <v>319</v>
      </c>
    </row>
    <row r="282" customFormat="false" ht="14.25" hidden="false" customHeight="true" outlineLevel="0" collapsed="false">
      <c r="A282" s="10" t="n">
        <v>2020</v>
      </c>
      <c r="B282" s="10" t="s">
        <v>118</v>
      </c>
      <c r="C282" s="10" t="s">
        <v>387</v>
      </c>
      <c r="D282" s="11" t="n">
        <v>552579</v>
      </c>
      <c r="E282" s="11" t="n">
        <v>480852</v>
      </c>
      <c r="F282" s="12" t="n">
        <v>47097.82</v>
      </c>
      <c r="G282" s="12" t="n">
        <v>487058.82</v>
      </c>
      <c r="H282" s="12" t="n">
        <v>5.2</v>
      </c>
      <c r="I282" s="12" t="n">
        <v>30239.86846</v>
      </c>
      <c r="J282" s="10" t="s">
        <v>319</v>
      </c>
    </row>
    <row r="283" customFormat="false" ht="14.25" hidden="false" customHeight="true" outlineLevel="0" collapsed="false">
      <c r="A283" s="7" t="n">
        <v>2020</v>
      </c>
      <c r="B283" s="7" t="s">
        <v>118</v>
      </c>
      <c r="C283" s="7" t="s">
        <v>388</v>
      </c>
      <c r="D283" s="8" t="n">
        <v>721165</v>
      </c>
      <c r="E283" s="8" t="n">
        <v>636893</v>
      </c>
      <c r="F283" s="9" t="n">
        <v>50970.11</v>
      </c>
      <c r="G283" s="9" t="n">
        <v>487058.82</v>
      </c>
      <c r="H283" s="9" t="n">
        <v>5.2</v>
      </c>
      <c r="I283" s="9" t="n">
        <v>32563.24246</v>
      </c>
      <c r="J283" s="7" t="s">
        <v>319</v>
      </c>
    </row>
    <row r="284" customFormat="false" ht="14.25" hidden="false" customHeight="true" outlineLevel="0" collapsed="false">
      <c r="A284" s="10" t="n">
        <v>2020</v>
      </c>
      <c r="B284" s="10" t="s">
        <v>118</v>
      </c>
      <c r="C284" s="10" t="s">
        <v>389</v>
      </c>
      <c r="D284" s="11" t="n">
        <v>1700162</v>
      </c>
      <c r="E284" s="11" t="n">
        <v>1078175</v>
      </c>
      <c r="F284" s="12" t="n">
        <v>48269.11</v>
      </c>
      <c r="G284" s="12" t="n">
        <v>487058.82</v>
      </c>
      <c r="H284" s="12" t="n">
        <v>5.2</v>
      </c>
      <c r="I284" s="12" t="n">
        <v>30942.64246</v>
      </c>
      <c r="J284" s="10" t="s">
        <v>319</v>
      </c>
    </row>
    <row r="285" customFormat="false" ht="14.25" hidden="false" customHeight="true" outlineLevel="0" collapsed="false">
      <c r="A285" s="7" t="n">
        <v>2020</v>
      </c>
      <c r="B285" s="7" t="s">
        <v>123</v>
      </c>
      <c r="C285" s="7" t="s">
        <v>390</v>
      </c>
      <c r="D285" s="8" t="n">
        <v>1181880</v>
      </c>
      <c r="E285" s="8" t="n">
        <v>572543</v>
      </c>
      <c r="F285" s="9" t="n">
        <v>48117.79</v>
      </c>
      <c r="G285" s="9" t="n">
        <v>510825</v>
      </c>
      <c r="H285" s="9" t="n">
        <v>4.1</v>
      </c>
      <c r="I285" s="9" t="n">
        <v>30813.149</v>
      </c>
      <c r="J285" s="7" t="s">
        <v>319</v>
      </c>
    </row>
    <row r="286" customFormat="false" ht="14.25" hidden="false" customHeight="true" outlineLevel="0" collapsed="false">
      <c r="A286" s="10" t="n">
        <v>2020</v>
      </c>
      <c r="B286" s="10" t="s">
        <v>123</v>
      </c>
      <c r="C286" s="10" t="s">
        <v>391</v>
      </c>
      <c r="D286" s="11" t="n">
        <v>880360</v>
      </c>
      <c r="E286" s="11" t="n">
        <v>663276</v>
      </c>
      <c r="F286" s="12" t="n">
        <v>55318.53</v>
      </c>
      <c r="G286" s="12" t="n">
        <v>510825</v>
      </c>
      <c r="H286" s="12" t="n">
        <v>4.1</v>
      </c>
      <c r="I286" s="12" t="n">
        <v>35133.593</v>
      </c>
      <c r="J286" s="10" t="s">
        <v>319</v>
      </c>
    </row>
    <row r="287" customFormat="false" ht="14.25" hidden="false" customHeight="true" outlineLevel="0" collapsed="false">
      <c r="A287" s="7" t="n">
        <v>2020</v>
      </c>
      <c r="B287" s="7" t="s">
        <v>123</v>
      </c>
      <c r="C287" s="7" t="s">
        <v>392</v>
      </c>
      <c r="D287" s="8" t="n">
        <v>1204935</v>
      </c>
      <c r="E287" s="8" t="n">
        <v>867717</v>
      </c>
      <c r="F287" s="9" t="n">
        <v>51655.54</v>
      </c>
      <c r="G287" s="9" t="n">
        <v>510825</v>
      </c>
      <c r="H287" s="9" t="n">
        <v>4.1</v>
      </c>
      <c r="I287" s="9" t="n">
        <v>32935.799</v>
      </c>
      <c r="J287" s="7" t="s">
        <v>319</v>
      </c>
    </row>
    <row r="288" customFormat="false" ht="14.25" hidden="false" customHeight="true" outlineLevel="0" collapsed="false">
      <c r="A288" s="10" t="n">
        <v>2020</v>
      </c>
      <c r="B288" s="10" t="s">
        <v>123</v>
      </c>
      <c r="C288" s="10" t="s">
        <v>393</v>
      </c>
      <c r="D288" s="11" t="n">
        <v>1572828</v>
      </c>
      <c r="E288" s="11" t="n">
        <v>1035731</v>
      </c>
      <c r="F288" s="12" t="n">
        <v>48743.33</v>
      </c>
      <c r="G288" s="12" t="n">
        <v>510825</v>
      </c>
      <c r="H288" s="12" t="n">
        <v>4.1</v>
      </c>
      <c r="I288" s="12" t="n">
        <v>31188.473</v>
      </c>
      <c r="J288" s="10" t="s">
        <v>319</v>
      </c>
    </row>
    <row r="289" customFormat="false" ht="14.25" hidden="false" customHeight="true" outlineLevel="0" collapsed="false">
      <c r="A289" s="7" t="n">
        <v>2020</v>
      </c>
      <c r="B289" s="7" t="s">
        <v>129</v>
      </c>
      <c r="C289" s="7" t="s">
        <v>394</v>
      </c>
      <c r="D289" s="8" t="n">
        <v>976638</v>
      </c>
      <c r="E289" s="8" t="n">
        <v>743974</v>
      </c>
      <c r="F289" s="9" t="n">
        <v>50268.17</v>
      </c>
      <c r="G289" s="9" t="n">
        <v>450543.48</v>
      </c>
      <c r="H289" s="9" t="n">
        <v>4.2</v>
      </c>
      <c r="I289" s="9" t="n">
        <v>31932.53244</v>
      </c>
      <c r="J289" s="7" t="s">
        <v>319</v>
      </c>
    </row>
    <row r="290" customFormat="false" ht="14.25" hidden="false" customHeight="true" outlineLevel="0" collapsed="false">
      <c r="A290" s="10" t="n">
        <v>2020</v>
      </c>
      <c r="B290" s="10" t="s">
        <v>129</v>
      </c>
      <c r="C290" s="10" t="s">
        <v>395</v>
      </c>
      <c r="D290" s="11" t="n">
        <v>844359</v>
      </c>
      <c r="E290" s="11" t="n">
        <v>672244</v>
      </c>
      <c r="F290" s="12" t="n">
        <v>53628.23</v>
      </c>
      <c r="G290" s="12" t="n">
        <v>450543.48</v>
      </c>
      <c r="H290" s="12" t="n">
        <v>4.2</v>
      </c>
      <c r="I290" s="12" t="n">
        <v>33948.56844</v>
      </c>
      <c r="J290" s="10" t="s">
        <v>319</v>
      </c>
    </row>
    <row r="291" customFormat="false" ht="14.25" hidden="false" customHeight="true" outlineLevel="0" collapsed="false">
      <c r="A291" s="7" t="n">
        <v>2020</v>
      </c>
      <c r="B291" s="7" t="s">
        <v>129</v>
      </c>
      <c r="C291" s="7" t="s">
        <v>396</v>
      </c>
      <c r="D291" s="8" t="n">
        <v>2020374</v>
      </c>
      <c r="E291" s="8" t="n">
        <v>1690078</v>
      </c>
      <c r="F291" s="9" t="n">
        <v>55114.6</v>
      </c>
      <c r="G291" s="9" t="n">
        <v>450543.48</v>
      </c>
      <c r="H291" s="9" t="n">
        <v>4.2</v>
      </c>
      <c r="I291" s="9" t="n">
        <v>34840.39044</v>
      </c>
      <c r="J291" s="7" t="s">
        <v>319</v>
      </c>
    </row>
    <row r="292" customFormat="false" ht="14.25" hidden="false" customHeight="true" outlineLevel="0" collapsed="false">
      <c r="A292" s="10" t="n">
        <v>2020</v>
      </c>
      <c r="B292" s="10" t="s">
        <v>129</v>
      </c>
      <c r="C292" s="10" t="s">
        <v>397</v>
      </c>
      <c r="D292" s="11" t="n">
        <v>864076</v>
      </c>
      <c r="E292" s="11" t="n">
        <v>693483</v>
      </c>
      <c r="F292" s="12" t="n">
        <v>56885.71</v>
      </c>
      <c r="G292" s="12" t="n">
        <v>450543.48</v>
      </c>
      <c r="H292" s="12" t="n">
        <v>4.2</v>
      </c>
      <c r="I292" s="12" t="n">
        <v>35903.05644</v>
      </c>
      <c r="J292" s="10" t="s">
        <v>319</v>
      </c>
    </row>
    <row r="293" customFormat="false" ht="14.25" hidden="false" customHeight="true" outlineLevel="0" collapsed="false">
      <c r="A293" s="7" t="n">
        <v>2020</v>
      </c>
      <c r="B293" s="7" t="s">
        <v>129</v>
      </c>
      <c r="C293" s="7" t="s">
        <v>398</v>
      </c>
      <c r="D293" s="8" t="n">
        <v>1077703</v>
      </c>
      <c r="E293" s="8" t="n">
        <v>761448</v>
      </c>
      <c r="F293" s="9" t="n">
        <v>53624.48</v>
      </c>
      <c r="G293" s="9" t="n">
        <v>450543.48</v>
      </c>
      <c r="H293" s="9" t="n">
        <v>4.2</v>
      </c>
      <c r="I293" s="9" t="n">
        <v>33946.31844</v>
      </c>
      <c r="J293" s="7" t="s">
        <v>319</v>
      </c>
    </row>
    <row r="294" customFormat="false" ht="14.25" hidden="false" customHeight="true" outlineLevel="0" collapsed="false">
      <c r="A294" s="10" t="n">
        <v>2020</v>
      </c>
      <c r="B294" s="10" t="s">
        <v>134</v>
      </c>
      <c r="C294" s="10" t="s">
        <v>399</v>
      </c>
      <c r="D294" s="11" t="n">
        <v>870288</v>
      </c>
      <c r="E294" s="11" t="n">
        <v>676707</v>
      </c>
      <c r="F294" s="12" t="n">
        <v>52794.35</v>
      </c>
      <c r="G294" s="12" t="n">
        <v>446250</v>
      </c>
      <c r="H294" s="12" t="n">
        <v>5.5</v>
      </c>
      <c r="I294" s="12" t="n">
        <v>33565.36</v>
      </c>
      <c r="J294" s="10" t="s">
        <v>319</v>
      </c>
    </row>
    <row r="295" customFormat="false" ht="14.25" hidden="false" customHeight="true" outlineLevel="0" collapsed="false">
      <c r="A295" s="7" t="n">
        <v>2020</v>
      </c>
      <c r="B295" s="7" t="s">
        <v>134</v>
      </c>
      <c r="C295" s="7" t="s">
        <v>400</v>
      </c>
      <c r="D295" s="8" t="n">
        <v>477854</v>
      </c>
      <c r="E295" s="8" t="n">
        <v>357331</v>
      </c>
      <c r="F295" s="9" t="n">
        <v>55463.44</v>
      </c>
      <c r="G295" s="9" t="n">
        <v>446250</v>
      </c>
      <c r="H295" s="9" t="n">
        <v>5.5</v>
      </c>
      <c r="I295" s="9" t="n">
        <v>35166.814</v>
      </c>
      <c r="J295" s="7" t="s">
        <v>319</v>
      </c>
    </row>
    <row r="296" customFormat="false" ht="14.25" hidden="false" customHeight="true" outlineLevel="0" collapsed="false">
      <c r="A296" s="10" t="n">
        <v>2020</v>
      </c>
      <c r="B296" s="10" t="s">
        <v>134</v>
      </c>
      <c r="C296" s="10" t="s">
        <v>401</v>
      </c>
      <c r="D296" s="11" t="n">
        <v>1178800</v>
      </c>
      <c r="E296" s="11" t="n">
        <v>800000</v>
      </c>
      <c r="F296" s="12" t="n">
        <v>55000</v>
      </c>
      <c r="G296" s="12" t="n">
        <v>446250</v>
      </c>
      <c r="H296" s="12" t="n">
        <v>5.5</v>
      </c>
      <c r="I296" s="12" t="n">
        <v>34888.75</v>
      </c>
      <c r="J296" s="10" t="s">
        <v>319</v>
      </c>
    </row>
    <row r="297" customFormat="false" ht="14.25" hidden="false" customHeight="true" outlineLevel="0" collapsed="false">
      <c r="A297" s="7" t="n">
        <v>2020</v>
      </c>
      <c r="B297" s="7" t="s">
        <v>134</v>
      </c>
      <c r="C297" s="7" t="s">
        <v>402</v>
      </c>
      <c r="D297" s="8" t="n">
        <v>950000</v>
      </c>
      <c r="E297" s="8" t="n">
        <v>700000</v>
      </c>
      <c r="F297" s="9" t="n">
        <v>56000</v>
      </c>
      <c r="G297" s="9" t="n">
        <v>446250</v>
      </c>
      <c r="H297" s="9" t="n">
        <v>5.5</v>
      </c>
      <c r="I297" s="9" t="n">
        <v>35488.75</v>
      </c>
      <c r="J297" s="7" t="s">
        <v>319</v>
      </c>
    </row>
    <row r="298" customFormat="false" ht="14.25" hidden="false" customHeight="true" outlineLevel="0" collapsed="false">
      <c r="A298" s="10" t="n">
        <v>2020</v>
      </c>
      <c r="B298" s="10" t="s">
        <v>140</v>
      </c>
      <c r="C298" s="10" t="s">
        <v>403</v>
      </c>
      <c r="D298" s="11" t="n">
        <v>1100000</v>
      </c>
      <c r="E298" s="11" t="n">
        <v>850000</v>
      </c>
      <c r="F298" s="12" t="n">
        <v>57000</v>
      </c>
      <c r="G298" s="12" t="n">
        <v>452142.86</v>
      </c>
      <c r="H298" s="12" t="n">
        <v>6.4</v>
      </c>
      <c r="I298" s="12" t="n">
        <v>36196.42858</v>
      </c>
      <c r="J298" s="10" t="s">
        <v>319</v>
      </c>
    </row>
    <row r="299" customFormat="false" ht="14.25" hidden="false" customHeight="true" outlineLevel="0" collapsed="false">
      <c r="A299" s="7" t="n">
        <v>2020</v>
      </c>
      <c r="B299" s="7" t="s">
        <v>140</v>
      </c>
      <c r="C299" s="7" t="s">
        <v>404</v>
      </c>
      <c r="D299" s="8" t="n">
        <v>900000</v>
      </c>
      <c r="E299" s="8" t="n">
        <v>650000</v>
      </c>
      <c r="F299" s="9" t="n">
        <v>58000</v>
      </c>
      <c r="G299" s="9" t="n">
        <v>452142.86</v>
      </c>
      <c r="H299" s="9" t="n">
        <v>6.4</v>
      </c>
      <c r="I299" s="9" t="n">
        <v>36796.42858</v>
      </c>
      <c r="J299" s="7" t="s">
        <v>319</v>
      </c>
    </row>
    <row r="300" customFormat="false" ht="14.25" hidden="false" customHeight="true" outlineLevel="0" collapsed="false">
      <c r="A300" s="10" t="n">
        <v>2020</v>
      </c>
      <c r="B300" s="10" t="s">
        <v>140</v>
      </c>
      <c r="C300" s="10" t="s">
        <v>405</v>
      </c>
      <c r="D300" s="11" t="n">
        <v>850000</v>
      </c>
      <c r="E300" s="11" t="n">
        <v>600000</v>
      </c>
      <c r="F300" s="12" t="n">
        <v>57500</v>
      </c>
      <c r="G300" s="12" t="n">
        <v>452142.86</v>
      </c>
      <c r="H300" s="12" t="n">
        <v>6.4</v>
      </c>
      <c r="I300" s="12" t="n">
        <v>36496.42858</v>
      </c>
      <c r="J300" s="10" t="s">
        <v>319</v>
      </c>
    </row>
    <row r="301" customFormat="false" ht="14.25" hidden="false" customHeight="true" outlineLevel="0" collapsed="false">
      <c r="A301" s="7" t="n">
        <v>2020</v>
      </c>
      <c r="B301" s="7" t="s">
        <v>140</v>
      </c>
      <c r="C301" s="7" t="s">
        <v>406</v>
      </c>
      <c r="D301" s="8" t="n">
        <v>800000</v>
      </c>
      <c r="E301" s="8" t="n">
        <v>550000</v>
      </c>
      <c r="F301" s="9" t="n">
        <v>59000</v>
      </c>
      <c r="G301" s="9" t="n">
        <v>452142.86</v>
      </c>
      <c r="H301" s="9" t="n">
        <v>6.4</v>
      </c>
      <c r="I301" s="9" t="n">
        <v>37396.42858</v>
      </c>
      <c r="J301" s="7" t="s">
        <v>319</v>
      </c>
    </row>
    <row r="302" customFormat="false" ht="14.25" hidden="false" customHeight="true" outlineLevel="0" collapsed="false">
      <c r="A302" s="10" t="n">
        <v>2021</v>
      </c>
      <c r="B302" s="10" t="s">
        <v>118</v>
      </c>
      <c r="C302" s="10" t="s">
        <v>407</v>
      </c>
      <c r="D302" s="11" t="n">
        <v>1273900</v>
      </c>
      <c r="E302" s="11" t="n">
        <v>914791</v>
      </c>
      <c r="F302" s="12" t="n">
        <v>62839.99</v>
      </c>
      <c r="G302" s="12" t="n">
        <v>504210.53</v>
      </c>
      <c r="H302" s="12" t="n">
        <v>3.7</v>
      </c>
      <c r="I302" s="12" t="n">
        <v>39586.62559</v>
      </c>
      <c r="J302" s="10" t="s">
        <v>408</v>
      </c>
    </row>
    <row r="303" customFormat="false" ht="14.25" hidden="false" customHeight="true" outlineLevel="0" collapsed="false">
      <c r="A303" s="7" t="n">
        <v>2021</v>
      </c>
      <c r="B303" s="7" t="s">
        <v>118</v>
      </c>
      <c r="C303" s="7" t="s">
        <v>409</v>
      </c>
      <c r="D303" s="8" t="n">
        <v>873107</v>
      </c>
      <c r="E303" s="8" t="n">
        <v>352272</v>
      </c>
      <c r="F303" s="9" t="n">
        <v>62970.41</v>
      </c>
      <c r="G303" s="9" t="n">
        <v>504210.53</v>
      </c>
      <c r="H303" s="9" t="n">
        <v>3.7</v>
      </c>
      <c r="I303" s="9" t="n">
        <v>39664.87759</v>
      </c>
      <c r="J303" s="7" t="s">
        <v>408</v>
      </c>
    </row>
    <row r="304" customFormat="false" ht="14.25" hidden="false" customHeight="true" outlineLevel="0" collapsed="false">
      <c r="A304" s="10" t="n">
        <v>2021</v>
      </c>
      <c r="B304" s="10" t="s">
        <v>118</v>
      </c>
      <c r="C304" s="10" t="s">
        <v>410</v>
      </c>
      <c r="D304" s="11" t="n">
        <v>800823</v>
      </c>
      <c r="E304" s="11" t="n">
        <v>452318</v>
      </c>
      <c r="F304" s="12" t="n">
        <v>63170.01</v>
      </c>
      <c r="G304" s="12" t="n">
        <v>504210.53</v>
      </c>
      <c r="H304" s="12" t="n">
        <v>3.7</v>
      </c>
      <c r="I304" s="12" t="n">
        <v>39784.63759</v>
      </c>
      <c r="J304" s="10" t="s">
        <v>408</v>
      </c>
    </row>
    <row r="305" customFormat="false" ht="14.25" hidden="false" customHeight="true" outlineLevel="0" collapsed="false">
      <c r="A305" s="7" t="n">
        <v>2021</v>
      </c>
      <c r="B305" s="7" t="s">
        <v>123</v>
      </c>
      <c r="C305" s="7" t="s">
        <v>411</v>
      </c>
      <c r="D305" s="8" t="n">
        <v>975623</v>
      </c>
      <c r="E305" s="8" t="n">
        <v>752576</v>
      </c>
      <c r="F305" s="9" t="n">
        <v>62635.81</v>
      </c>
      <c r="G305" s="9" t="n">
        <v>522222.22</v>
      </c>
      <c r="H305" s="9" t="n">
        <v>3.3</v>
      </c>
      <c r="I305" s="9" t="n">
        <v>39478.15266</v>
      </c>
      <c r="J305" s="7" t="s">
        <v>408</v>
      </c>
    </row>
    <row r="306" customFormat="false" ht="14.25" hidden="false" customHeight="true" outlineLevel="0" collapsed="false">
      <c r="A306" s="10" t="n">
        <v>2021</v>
      </c>
      <c r="B306" s="10" t="s">
        <v>123</v>
      </c>
      <c r="C306" s="10" t="s">
        <v>412</v>
      </c>
      <c r="D306" s="11" t="n">
        <v>1239094</v>
      </c>
      <c r="E306" s="11" t="n">
        <v>649372</v>
      </c>
      <c r="F306" s="12" t="n">
        <v>60375.12</v>
      </c>
      <c r="G306" s="12" t="n">
        <v>522222.22</v>
      </c>
      <c r="H306" s="12" t="n">
        <v>3.3</v>
      </c>
      <c r="I306" s="12" t="n">
        <v>38121.73866</v>
      </c>
      <c r="J306" s="10" t="s">
        <v>408</v>
      </c>
    </row>
    <row r="307" customFormat="false" ht="14.25" hidden="false" customHeight="true" outlineLevel="0" collapsed="false">
      <c r="A307" s="7" t="n">
        <v>2021</v>
      </c>
      <c r="B307" s="7" t="s">
        <v>123</v>
      </c>
      <c r="C307" s="7" t="s">
        <v>413</v>
      </c>
      <c r="D307" s="8" t="n">
        <v>1105300</v>
      </c>
      <c r="E307" s="8" t="n">
        <v>677997</v>
      </c>
      <c r="F307" s="9" t="n">
        <v>55224.12</v>
      </c>
      <c r="G307" s="9" t="n">
        <v>522222.22</v>
      </c>
      <c r="H307" s="9" t="n">
        <v>3.3</v>
      </c>
      <c r="I307" s="9" t="n">
        <v>35031.13866</v>
      </c>
      <c r="J307" s="7" t="s">
        <v>408</v>
      </c>
    </row>
    <row r="308" customFormat="false" ht="14.25" hidden="false" customHeight="true" outlineLevel="0" collapsed="false">
      <c r="A308" s="10" t="n">
        <v>2021</v>
      </c>
      <c r="B308" s="10" t="s">
        <v>123</v>
      </c>
      <c r="C308" s="10" t="s">
        <v>414</v>
      </c>
      <c r="D308" s="11" t="n">
        <v>1086587</v>
      </c>
      <c r="E308" s="11" t="n">
        <v>568878</v>
      </c>
      <c r="F308" s="12" t="n">
        <v>52911.94</v>
      </c>
      <c r="G308" s="12" t="n">
        <v>522222.22</v>
      </c>
      <c r="H308" s="12" t="n">
        <v>3.3</v>
      </c>
      <c r="I308" s="12" t="n">
        <v>33643.83066</v>
      </c>
      <c r="J308" s="10" t="s">
        <v>408</v>
      </c>
    </row>
    <row r="309" customFormat="false" ht="14.25" hidden="false" customHeight="true" outlineLevel="0" collapsed="false">
      <c r="A309" s="7" t="n">
        <v>2021</v>
      </c>
      <c r="B309" s="7" t="s">
        <v>129</v>
      </c>
      <c r="C309" s="7" t="s">
        <v>415</v>
      </c>
      <c r="D309" s="8" t="n">
        <v>1148994</v>
      </c>
      <c r="E309" s="8" t="n">
        <v>798919</v>
      </c>
      <c r="F309" s="9" t="n">
        <v>51421.14</v>
      </c>
      <c r="G309" s="9" t="n">
        <v>519431.82</v>
      </c>
      <c r="H309" s="9" t="n">
        <v>3.1</v>
      </c>
      <c r="I309" s="9" t="n">
        <v>32720.97946</v>
      </c>
      <c r="J309" s="7" t="s">
        <v>408</v>
      </c>
    </row>
    <row r="310" customFormat="false" ht="14.25" hidden="false" customHeight="true" outlineLevel="0" collapsed="false">
      <c r="A310" s="10" t="n">
        <v>2021</v>
      </c>
      <c r="B310" s="10" t="s">
        <v>129</v>
      </c>
      <c r="C310" s="10" t="s">
        <v>416</v>
      </c>
      <c r="D310" s="11" t="n">
        <v>1678198</v>
      </c>
      <c r="E310" s="11" t="n">
        <v>1153197</v>
      </c>
      <c r="F310" s="12" t="n">
        <v>54061.25</v>
      </c>
      <c r="G310" s="12" t="n">
        <v>519431.82</v>
      </c>
      <c r="H310" s="12" t="n">
        <v>3.1</v>
      </c>
      <c r="I310" s="12" t="n">
        <v>34305.04546</v>
      </c>
      <c r="J310" s="10" t="s">
        <v>408</v>
      </c>
    </row>
    <row r="311" customFormat="false" ht="14.25" hidden="false" customHeight="true" outlineLevel="0" collapsed="false">
      <c r="A311" s="7" t="n">
        <v>2021</v>
      </c>
      <c r="B311" s="7" t="s">
        <v>129</v>
      </c>
      <c r="C311" s="7" t="s">
        <v>417</v>
      </c>
      <c r="D311" s="8" t="n">
        <v>1055068</v>
      </c>
      <c r="E311" s="8" t="n">
        <v>877354</v>
      </c>
      <c r="F311" s="9" t="n">
        <v>60207.17</v>
      </c>
      <c r="G311" s="9" t="n">
        <v>519431.82</v>
      </c>
      <c r="H311" s="9" t="n">
        <v>3.1</v>
      </c>
      <c r="I311" s="9" t="n">
        <v>37992.59746</v>
      </c>
      <c r="J311" s="7" t="s">
        <v>408</v>
      </c>
    </row>
    <row r="312" customFormat="false" ht="14.25" hidden="false" customHeight="true" outlineLevel="0" collapsed="false">
      <c r="A312" s="10" t="n">
        <v>2021</v>
      </c>
      <c r="B312" s="10" t="s">
        <v>129</v>
      </c>
      <c r="C312" s="10" t="s">
        <v>418</v>
      </c>
      <c r="D312" s="11" t="n">
        <v>842603</v>
      </c>
      <c r="E312" s="11" t="n">
        <v>722054</v>
      </c>
      <c r="F312" s="12" t="n">
        <v>60462.68</v>
      </c>
      <c r="G312" s="12" t="n">
        <v>519431.82</v>
      </c>
      <c r="H312" s="12" t="n">
        <v>3.1</v>
      </c>
      <c r="I312" s="12" t="n">
        <v>38145.90346</v>
      </c>
      <c r="J312" s="10" t="s">
        <v>408</v>
      </c>
    </row>
    <row r="313" customFormat="false" ht="14.25" hidden="false" customHeight="true" outlineLevel="0" collapsed="false">
      <c r="A313" s="7" t="n">
        <v>2021</v>
      </c>
      <c r="B313" s="7" t="s">
        <v>129</v>
      </c>
      <c r="C313" s="7" t="s">
        <v>419</v>
      </c>
      <c r="D313" s="8" t="n">
        <v>685681</v>
      </c>
      <c r="E313" s="8" t="n">
        <v>476712</v>
      </c>
      <c r="F313" s="9" t="n">
        <v>55984.99</v>
      </c>
      <c r="G313" s="9" t="n">
        <v>519431.82</v>
      </c>
      <c r="H313" s="9" t="n">
        <v>3.1</v>
      </c>
      <c r="I313" s="9" t="n">
        <v>35459.28946</v>
      </c>
      <c r="J313" s="7" t="s">
        <v>408</v>
      </c>
    </row>
    <row r="314" customFormat="false" ht="14.25" hidden="false" customHeight="true" outlineLevel="0" collapsed="false">
      <c r="A314" s="10" t="n">
        <v>2021</v>
      </c>
      <c r="B314" s="10" t="s">
        <v>134</v>
      </c>
      <c r="C314" s="10" t="s">
        <v>420</v>
      </c>
      <c r="D314" s="11" t="n">
        <v>1652242</v>
      </c>
      <c r="E314" s="11" t="n">
        <v>1104876</v>
      </c>
      <c r="F314" s="12" t="n">
        <v>52728</v>
      </c>
      <c r="G314" s="12" t="n">
        <v>555909.09</v>
      </c>
      <c r="H314" s="12" t="n">
        <v>4.1</v>
      </c>
      <c r="I314" s="12" t="n">
        <v>33714.52727</v>
      </c>
      <c r="J314" s="10" t="s">
        <v>408</v>
      </c>
    </row>
    <row r="315" customFormat="false" ht="14.25" hidden="false" customHeight="true" outlineLevel="0" collapsed="false">
      <c r="A315" s="7" t="n">
        <v>2021</v>
      </c>
      <c r="B315" s="7" t="s">
        <v>134</v>
      </c>
      <c r="C315" s="7" t="s">
        <v>421</v>
      </c>
      <c r="D315" s="8" t="n">
        <v>1468729</v>
      </c>
      <c r="E315" s="8" t="n">
        <v>850665</v>
      </c>
      <c r="F315" s="9" t="n">
        <v>51440.06</v>
      </c>
      <c r="G315" s="9" t="n">
        <v>555909.09</v>
      </c>
      <c r="H315" s="9" t="n">
        <v>4.1</v>
      </c>
      <c r="I315" s="9" t="n">
        <v>32941.76327</v>
      </c>
      <c r="J315" s="7" t="s">
        <v>408</v>
      </c>
    </row>
    <row r="316" customFormat="false" ht="14.25" hidden="false" customHeight="true" outlineLevel="0" collapsed="false">
      <c r="A316" s="10" t="n">
        <v>2021</v>
      </c>
      <c r="B316" s="10" t="s">
        <v>134</v>
      </c>
      <c r="C316" s="10" t="s">
        <v>422</v>
      </c>
      <c r="D316" s="11" t="n">
        <v>1261862</v>
      </c>
      <c r="E316" s="11" t="n">
        <v>732181</v>
      </c>
      <c r="F316" s="12" t="n">
        <v>51101.06</v>
      </c>
      <c r="G316" s="12" t="n">
        <v>555909.09</v>
      </c>
      <c r="H316" s="12" t="n">
        <v>4.1</v>
      </c>
      <c r="I316" s="12" t="n">
        <v>32738.36327</v>
      </c>
      <c r="J316" s="10" t="s">
        <v>408</v>
      </c>
    </row>
    <row r="317" customFormat="false" ht="14.25" hidden="false" customHeight="true" outlineLevel="0" collapsed="false">
      <c r="A317" s="7" t="n">
        <v>2021</v>
      </c>
      <c r="B317" s="7" t="s">
        <v>134</v>
      </c>
      <c r="C317" s="7" t="s">
        <v>423</v>
      </c>
      <c r="D317" s="8" t="n">
        <v>963778</v>
      </c>
      <c r="E317" s="8" t="n">
        <v>716339</v>
      </c>
      <c r="F317" s="9" t="n">
        <v>52024.84</v>
      </c>
      <c r="G317" s="9" t="n">
        <v>555909.09</v>
      </c>
      <c r="H317" s="9" t="n">
        <v>4.1</v>
      </c>
      <c r="I317" s="9" t="n">
        <v>33292.63127</v>
      </c>
      <c r="J317" s="7" t="s">
        <v>408</v>
      </c>
    </row>
    <row r="318" customFormat="false" ht="14.25" hidden="false" customHeight="true" outlineLevel="0" collapsed="false">
      <c r="A318" s="10" t="n">
        <v>2021</v>
      </c>
      <c r="B318" s="10" t="s">
        <v>140</v>
      </c>
      <c r="C318" s="10" t="s">
        <v>424</v>
      </c>
      <c r="D318" s="11" t="n">
        <v>1435432</v>
      </c>
      <c r="E318" s="11" t="n">
        <v>1120510</v>
      </c>
      <c r="F318" s="12" t="n">
        <v>53778.14</v>
      </c>
      <c r="G318" s="12" t="n">
        <v>650125</v>
      </c>
      <c r="H318" s="12" t="n">
        <v>5.5</v>
      </c>
      <c r="I318" s="12" t="n">
        <v>34767.259</v>
      </c>
      <c r="J318" s="10" t="s">
        <v>408</v>
      </c>
    </row>
    <row r="319" customFormat="false" ht="14.25" hidden="false" customHeight="true" outlineLevel="0" collapsed="false">
      <c r="A319" s="7" t="n">
        <v>2021</v>
      </c>
      <c r="B319" s="7" t="s">
        <v>140</v>
      </c>
      <c r="C319" s="7" t="s">
        <v>425</v>
      </c>
      <c r="D319" s="8" t="n">
        <v>1620591</v>
      </c>
      <c r="E319" s="8" t="n">
        <v>1133408</v>
      </c>
      <c r="F319" s="9" t="n">
        <v>54140.43</v>
      </c>
      <c r="G319" s="9" t="n">
        <v>650125</v>
      </c>
      <c r="H319" s="9" t="n">
        <v>5.5</v>
      </c>
      <c r="I319" s="9" t="n">
        <v>34984.633</v>
      </c>
      <c r="J319" s="7" t="s">
        <v>408</v>
      </c>
    </row>
    <row r="320" customFormat="false" ht="14.25" hidden="false" customHeight="true" outlineLevel="0" collapsed="false">
      <c r="A320" s="10" t="n">
        <v>2021</v>
      </c>
      <c r="B320" s="10" t="s">
        <v>140</v>
      </c>
      <c r="C320" s="10" t="s">
        <v>426</v>
      </c>
      <c r="D320" s="11" t="n">
        <v>1059460</v>
      </c>
      <c r="E320" s="11" t="n">
        <v>648578</v>
      </c>
      <c r="F320" s="12" t="n">
        <v>53028.2</v>
      </c>
      <c r="G320" s="12" t="n">
        <v>650125</v>
      </c>
      <c r="H320" s="12" t="n">
        <v>5.5</v>
      </c>
      <c r="I320" s="12" t="n">
        <v>34317.295</v>
      </c>
      <c r="J320" s="10" t="s">
        <v>408</v>
      </c>
    </row>
    <row r="321" customFormat="false" ht="14.25" hidden="false" customHeight="true" outlineLevel="0" collapsed="false">
      <c r="A321" s="7" t="n">
        <v>2021</v>
      </c>
      <c r="B321" s="7" t="s">
        <v>140</v>
      </c>
      <c r="C321" s="7" t="s">
        <v>427</v>
      </c>
      <c r="D321" s="8" t="n">
        <v>1076793</v>
      </c>
      <c r="E321" s="8" t="n">
        <v>622614</v>
      </c>
      <c r="F321" s="9" t="n">
        <v>50897.44</v>
      </c>
      <c r="G321" s="9" t="n">
        <v>650125</v>
      </c>
      <c r="H321" s="9" t="n">
        <v>5.5</v>
      </c>
      <c r="I321" s="9" t="n">
        <v>33038.839</v>
      </c>
      <c r="J321" s="7" t="s">
        <v>408</v>
      </c>
    </row>
    <row r="322" customFormat="false" ht="14.25" hidden="false" customHeight="true" outlineLevel="0" collapsed="false">
      <c r="A322" s="10" t="n">
        <v>2021</v>
      </c>
      <c r="B322" s="10" t="s">
        <v>140</v>
      </c>
      <c r="C322" s="10" t="s">
        <v>428</v>
      </c>
      <c r="D322" s="11" t="n">
        <v>1062646</v>
      </c>
      <c r="E322" s="11" t="n">
        <v>525769</v>
      </c>
      <c r="F322" s="12" t="n">
        <v>50194.2</v>
      </c>
      <c r="G322" s="12" t="n">
        <v>650125</v>
      </c>
      <c r="H322" s="12" t="n">
        <v>5.5</v>
      </c>
      <c r="I322" s="12" t="n">
        <v>32616.895</v>
      </c>
      <c r="J322" s="10" t="s">
        <v>408</v>
      </c>
    </row>
    <row r="323" customFormat="false" ht="14.25" hidden="false" customHeight="true" outlineLevel="0" collapsed="false">
      <c r="A323" s="7" t="n">
        <v>2021</v>
      </c>
      <c r="B323" s="7" t="s">
        <v>145</v>
      </c>
      <c r="C323" s="7" t="s">
        <v>429</v>
      </c>
      <c r="D323" s="8" t="n">
        <v>1558399</v>
      </c>
      <c r="E323" s="8" t="n">
        <v>930358</v>
      </c>
      <c r="F323" s="9" t="n">
        <v>48879.86</v>
      </c>
      <c r="G323" s="9" t="n">
        <v>722500</v>
      </c>
      <c r="H323" s="9" t="n">
        <v>6.1</v>
      </c>
      <c r="I323" s="9" t="n">
        <v>32105.416</v>
      </c>
      <c r="J323" s="7" t="s">
        <v>408</v>
      </c>
    </row>
    <row r="324" customFormat="false" ht="14.25" hidden="false" customHeight="true" outlineLevel="0" collapsed="false">
      <c r="A324" s="10" t="n">
        <v>2021</v>
      </c>
      <c r="B324" s="10" t="s">
        <v>145</v>
      </c>
      <c r="C324" s="10" t="s">
        <v>430</v>
      </c>
      <c r="D324" s="11" t="n">
        <v>988614</v>
      </c>
      <c r="E324" s="11" t="n">
        <v>619523</v>
      </c>
      <c r="F324" s="12" t="n">
        <v>48433.07</v>
      </c>
      <c r="G324" s="12" t="n">
        <v>722500</v>
      </c>
      <c r="H324" s="12" t="n">
        <v>6.1</v>
      </c>
      <c r="I324" s="12" t="n">
        <v>31837.342</v>
      </c>
      <c r="J324" s="10" t="s">
        <v>408</v>
      </c>
    </row>
    <row r="325" customFormat="false" ht="14.25" hidden="false" customHeight="true" outlineLevel="0" collapsed="false">
      <c r="A325" s="7" t="n">
        <v>2021</v>
      </c>
      <c r="B325" s="7" t="s">
        <v>145</v>
      </c>
      <c r="C325" s="7" t="s">
        <v>431</v>
      </c>
      <c r="D325" s="8" t="n">
        <v>948948</v>
      </c>
      <c r="E325" s="8" t="n">
        <v>704601</v>
      </c>
      <c r="F325" s="9" t="n">
        <v>55360.99</v>
      </c>
      <c r="G325" s="9" t="n">
        <v>722500</v>
      </c>
      <c r="H325" s="9" t="n">
        <v>6.1</v>
      </c>
      <c r="I325" s="9" t="n">
        <v>35994.094</v>
      </c>
      <c r="J325" s="7" t="s">
        <v>408</v>
      </c>
    </row>
    <row r="326" customFormat="false" ht="14.25" hidden="false" customHeight="true" outlineLevel="0" collapsed="false">
      <c r="A326" s="10" t="n">
        <v>2021</v>
      </c>
      <c r="B326" s="10" t="s">
        <v>145</v>
      </c>
      <c r="C326" s="10" t="s">
        <v>432</v>
      </c>
      <c r="D326" s="11" t="n">
        <v>656132</v>
      </c>
      <c r="E326" s="11" t="n">
        <v>620442</v>
      </c>
      <c r="F326" s="12" t="n">
        <v>57774.67</v>
      </c>
      <c r="G326" s="12" t="n">
        <v>722500</v>
      </c>
      <c r="H326" s="12" t="n">
        <v>6.1</v>
      </c>
      <c r="I326" s="12" t="n">
        <v>37442.302</v>
      </c>
      <c r="J326" s="10" t="s">
        <v>408</v>
      </c>
    </row>
    <row r="327" customFormat="false" ht="14.25" hidden="false" customHeight="true" outlineLevel="0" collapsed="false">
      <c r="A327" s="7" t="n">
        <v>2021</v>
      </c>
      <c r="B327" s="7" t="s">
        <v>150</v>
      </c>
      <c r="C327" s="7" t="s">
        <v>433</v>
      </c>
      <c r="D327" s="8" t="n">
        <v>988417</v>
      </c>
      <c r="E327" s="8" t="n">
        <v>485530</v>
      </c>
      <c r="F327" s="9" t="n">
        <v>61635.67</v>
      </c>
      <c r="G327" s="9" t="n">
        <v>685238.1</v>
      </c>
      <c r="H327" s="9" t="n">
        <v>6.1</v>
      </c>
      <c r="I327" s="9" t="n">
        <v>39647.1163</v>
      </c>
      <c r="J327" s="7" t="s">
        <v>408</v>
      </c>
    </row>
    <row r="328" customFormat="false" ht="14.25" hidden="false" customHeight="true" outlineLevel="0" collapsed="false">
      <c r="A328" s="10" t="n">
        <v>2021</v>
      </c>
      <c r="B328" s="10" t="s">
        <v>150</v>
      </c>
      <c r="C328" s="10" t="s">
        <v>434</v>
      </c>
      <c r="D328" s="11" t="n">
        <v>1133556</v>
      </c>
      <c r="E328" s="11" t="n">
        <v>1024086</v>
      </c>
      <c r="F328" s="12" t="n">
        <v>61829.9</v>
      </c>
      <c r="G328" s="12" t="n">
        <v>685238.1</v>
      </c>
      <c r="H328" s="12" t="n">
        <v>6.1</v>
      </c>
      <c r="I328" s="12" t="n">
        <v>39763.6543</v>
      </c>
      <c r="J328" s="10" t="s">
        <v>408</v>
      </c>
    </row>
    <row r="329" customFormat="false" ht="14.25" hidden="false" customHeight="true" outlineLevel="0" collapsed="false">
      <c r="A329" s="7" t="n">
        <v>2021</v>
      </c>
      <c r="B329" s="7" t="s">
        <v>150</v>
      </c>
      <c r="C329" s="7" t="s">
        <v>435</v>
      </c>
      <c r="D329" s="8" t="n">
        <v>459072</v>
      </c>
      <c r="E329" s="8" t="n">
        <v>357202</v>
      </c>
      <c r="F329" s="9" t="n">
        <v>61675.56</v>
      </c>
      <c r="G329" s="9" t="n">
        <v>685238.1</v>
      </c>
      <c r="H329" s="9" t="n">
        <v>6.1</v>
      </c>
      <c r="I329" s="9" t="n">
        <v>39671.0503</v>
      </c>
      <c r="J329" s="7" t="s">
        <v>408</v>
      </c>
    </row>
    <row r="330" customFormat="false" ht="14.25" hidden="false" customHeight="true" outlineLevel="0" collapsed="false">
      <c r="A330" s="10" t="n">
        <v>2021</v>
      </c>
      <c r="B330" s="10" t="s">
        <v>150</v>
      </c>
      <c r="C330" s="10" t="s">
        <v>436</v>
      </c>
      <c r="D330" s="11" t="n">
        <v>515090</v>
      </c>
      <c r="E330" s="11" t="n">
        <v>356186</v>
      </c>
      <c r="F330" s="12" t="n">
        <v>58898.23</v>
      </c>
      <c r="G330" s="12" t="n">
        <v>685238.1</v>
      </c>
      <c r="H330" s="12" t="n">
        <v>6.1</v>
      </c>
      <c r="I330" s="12" t="n">
        <v>38004.6523</v>
      </c>
      <c r="J330" s="10" t="s">
        <v>408</v>
      </c>
    </row>
    <row r="331" customFormat="false" ht="14.25" hidden="false" customHeight="true" outlineLevel="0" collapsed="false">
      <c r="A331" s="7" t="n">
        <v>2021</v>
      </c>
      <c r="B331" s="7" t="s">
        <v>156</v>
      </c>
      <c r="C331" s="7" t="s">
        <v>437</v>
      </c>
      <c r="D331" s="8" t="n">
        <v>700161</v>
      </c>
      <c r="E331" s="8" t="n">
        <v>603471</v>
      </c>
      <c r="F331" s="9" t="n">
        <v>53975.69</v>
      </c>
      <c r="G331" s="9" t="n">
        <v>677368.42</v>
      </c>
      <c r="H331" s="9" t="n">
        <v>7</v>
      </c>
      <c r="I331" s="9" t="n">
        <v>35117.51926</v>
      </c>
      <c r="J331" s="7" t="s">
        <v>408</v>
      </c>
    </row>
    <row r="332" customFormat="false" ht="14.25" hidden="false" customHeight="true" outlineLevel="0" collapsed="false">
      <c r="A332" s="10" t="n">
        <v>2021</v>
      </c>
      <c r="B332" s="10" t="s">
        <v>156</v>
      </c>
      <c r="C332" s="10" t="s">
        <v>438</v>
      </c>
      <c r="D332" s="11" t="n">
        <v>962055</v>
      </c>
      <c r="E332" s="11" t="n">
        <v>738174</v>
      </c>
      <c r="F332" s="12" t="n">
        <v>56136.43</v>
      </c>
      <c r="G332" s="12" t="n">
        <v>677368.42</v>
      </c>
      <c r="H332" s="12" t="n">
        <v>7</v>
      </c>
      <c r="I332" s="12" t="n">
        <v>36413.96326</v>
      </c>
      <c r="J332" s="10" t="s">
        <v>408</v>
      </c>
    </row>
    <row r="333" customFormat="false" ht="14.25" hidden="false" customHeight="true" outlineLevel="0" collapsed="false">
      <c r="A333" s="7" t="n">
        <v>2021</v>
      </c>
      <c r="B333" s="7" t="s">
        <v>156</v>
      </c>
      <c r="C333" s="7" t="s">
        <v>439</v>
      </c>
      <c r="D333" s="8" t="n">
        <v>807665</v>
      </c>
      <c r="E333" s="8" t="n">
        <v>653454</v>
      </c>
      <c r="F333" s="9" t="n">
        <v>58610.68</v>
      </c>
      <c r="G333" s="9" t="n">
        <v>677368.42</v>
      </c>
      <c r="H333" s="9" t="n">
        <v>7</v>
      </c>
      <c r="I333" s="9" t="n">
        <v>37898.51326</v>
      </c>
      <c r="J333" s="7" t="s">
        <v>408</v>
      </c>
    </row>
    <row r="334" customFormat="false" ht="14.25" hidden="false" customHeight="true" outlineLevel="0" collapsed="false">
      <c r="A334" s="10" t="n">
        <v>2021</v>
      </c>
      <c r="B334" s="10" t="s">
        <v>156</v>
      </c>
      <c r="C334" s="10" t="s">
        <v>440</v>
      </c>
      <c r="D334" s="11" t="n">
        <v>700121</v>
      </c>
      <c r="E334" s="11" t="n">
        <v>577322</v>
      </c>
      <c r="F334" s="12" t="n">
        <v>59545.4</v>
      </c>
      <c r="G334" s="12" t="n">
        <v>677368.42</v>
      </c>
      <c r="H334" s="12" t="n">
        <v>7</v>
      </c>
      <c r="I334" s="12" t="n">
        <v>38459.34526</v>
      </c>
      <c r="J334" s="10" t="s">
        <v>408</v>
      </c>
    </row>
    <row r="335" customFormat="false" ht="14.25" hidden="false" customHeight="true" outlineLevel="0" collapsed="false">
      <c r="A335" s="7" t="n">
        <v>2022</v>
      </c>
      <c r="B335" s="7" t="s">
        <v>96</v>
      </c>
      <c r="C335" s="7" t="s">
        <v>441</v>
      </c>
      <c r="D335" s="8" t="n">
        <v>1605263</v>
      </c>
      <c r="E335" s="8" t="n">
        <v>1265763</v>
      </c>
      <c r="F335" s="9" t="n">
        <v>64657.36</v>
      </c>
      <c r="G335" s="9" t="n">
        <v>694722.22</v>
      </c>
      <c r="H335" s="9" t="n">
        <v>16.8</v>
      </c>
      <c r="I335" s="9" t="n">
        <v>42558.58266</v>
      </c>
      <c r="J335" s="7" t="s">
        <v>408</v>
      </c>
    </row>
    <row r="336" customFormat="false" ht="14.25" hidden="false" customHeight="true" outlineLevel="0" collapsed="false">
      <c r="A336" s="10" t="n">
        <v>2022</v>
      </c>
      <c r="B336" s="10" t="s">
        <v>96</v>
      </c>
      <c r="C336" s="10" t="s">
        <v>442</v>
      </c>
      <c r="D336" s="11" t="n">
        <v>1227591</v>
      </c>
      <c r="E336" s="11" t="n">
        <v>729195</v>
      </c>
      <c r="F336" s="12" t="n">
        <v>61037.07</v>
      </c>
      <c r="G336" s="12" t="n">
        <v>694722.22</v>
      </c>
      <c r="H336" s="12" t="n">
        <v>16.8</v>
      </c>
      <c r="I336" s="12" t="n">
        <v>40386.40866</v>
      </c>
      <c r="J336" s="10" t="s">
        <v>408</v>
      </c>
    </row>
    <row r="337" customFormat="false" ht="14.25" hidden="false" customHeight="true" outlineLevel="0" collapsed="false">
      <c r="A337" s="7" t="n">
        <v>2022</v>
      </c>
      <c r="B337" s="7" t="s">
        <v>96</v>
      </c>
      <c r="C337" s="7" t="s">
        <v>443</v>
      </c>
      <c r="D337" s="8" t="n">
        <v>581403</v>
      </c>
      <c r="E337" s="8" t="n">
        <v>406219</v>
      </c>
      <c r="F337" s="9" t="n">
        <v>61059.08</v>
      </c>
      <c r="G337" s="9" t="n">
        <v>694722.22</v>
      </c>
      <c r="H337" s="9" t="n">
        <v>16.8</v>
      </c>
      <c r="I337" s="9" t="n">
        <v>40399.61466</v>
      </c>
      <c r="J337" s="7" t="s">
        <v>408</v>
      </c>
    </row>
    <row r="338" customFormat="false" ht="14.25" hidden="false" customHeight="true" outlineLevel="0" collapsed="false">
      <c r="A338" s="10" t="n">
        <v>2022</v>
      </c>
      <c r="B338" s="10" t="s">
        <v>96</v>
      </c>
      <c r="C338" s="10" t="s">
        <v>444</v>
      </c>
      <c r="D338" s="11" t="n">
        <v>672920</v>
      </c>
      <c r="E338" s="11" t="n">
        <v>514049</v>
      </c>
      <c r="F338" s="12" t="n">
        <v>58633.7</v>
      </c>
      <c r="G338" s="12" t="n">
        <v>694722.22</v>
      </c>
      <c r="H338" s="12" t="n">
        <v>16.8</v>
      </c>
      <c r="I338" s="12" t="n">
        <v>38944.38666</v>
      </c>
      <c r="J338" s="10" t="s">
        <v>408</v>
      </c>
    </row>
    <row r="339" customFormat="false" ht="14.25" hidden="false" customHeight="true" outlineLevel="0" collapsed="false">
      <c r="A339" s="7" t="n">
        <v>2022</v>
      </c>
      <c r="B339" s="7" t="s">
        <v>102</v>
      </c>
      <c r="C339" s="7" t="s">
        <v>445</v>
      </c>
      <c r="D339" s="8" t="n">
        <v>1301135</v>
      </c>
      <c r="E339" s="8" t="n">
        <v>570242</v>
      </c>
      <c r="F339" s="9" t="n">
        <v>54064.03</v>
      </c>
      <c r="G339" s="9" t="n">
        <v>750000</v>
      </c>
      <c r="H339" s="9" t="n">
        <v>17.5</v>
      </c>
      <c r="I339" s="9" t="n">
        <v>36438.418</v>
      </c>
      <c r="J339" s="7" t="s">
        <v>408</v>
      </c>
    </row>
    <row r="340" customFormat="false" ht="14.25" hidden="false" customHeight="true" outlineLevel="0" collapsed="false">
      <c r="A340" s="10" t="n">
        <v>2022</v>
      </c>
      <c r="B340" s="10" t="s">
        <v>102</v>
      </c>
      <c r="C340" s="10" t="s">
        <v>446</v>
      </c>
      <c r="D340" s="11" t="n">
        <v>1188230</v>
      </c>
      <c r="E340" s="11" t="n">
        <v>418761</v>
      </c>
      <c r="F340" s="12" t="n">
        <v>54800.66</v>
      </c>
      <c r="G340" s="12" t="n">
        <v>750000</v>
      </c>
      <c r="H340" s="12" t="n">
        <v>17.5</v>
      </c>
      <c r="I340" s="12" t="n">
        <v>36880.396</v>
      </c>
      <c r="J340" s="10" t="s">
        <v>408</v>
      </c>
    </row>
    <row r="341" customFormat="false" ht="14.25" hidden="false" customHeight="true" outlineLevel="0" collapsed="false">
      <c r="A341" s="7" t="n">
        <v>2022</v>
      </c>
      <c r="B341" s="7" t="s">
        <v>102</v>
      </c>
      <c r="C341" s="7" t="s">
        <v>447</v>
      </c>
      <c r="D341" s="8" t="n">
        <v>1342126</v>
      </c>
      <c r="E341" s="8" t="n">
        <v>1042095</v>
      </c>
      <c r="F341" s="9" t="n">
        <v>56505.24</v>
      </c>
      <c r="G341" s="9" t="n">
        <v>750000</v>
      </c>
      <c r="H341" s="9" t="n">
        <v>17.5</v>
      </c>
      <c r="I341" s="9" t="n">
        <v>37903.144</v>
      </c>
      <c r="J341" s="7" t="s">
        <v>408</v>
      </c>
    </row>
    <row r="342" customFormat="false" ht="14.25" hidden="false" customHeight="true" outlineLevel="0" collapsed="false">
      <c r="A342" s="10" t="n">
        <v>2022</v>
      </c>
      <c r="B342" s="10" t="s">
        <v>102</v>
      </c>
      <c r="C342" s="10" t="s">
        <v>448</v>
      </c>
      <c r="D342" s="11" t="n">
        <v>945625</v>
      </c>
      <c r="E342" s="11" t="n">
        <v>748610</v>
      </c>
      <c r="F342" s="12" t="n">
        <v>60221</v>
      </c>
      <c r="G342" s="12" t="n">
        <v>750000</v>
      </c>
      <c r="H342" s="12" t="n">
        <v>17.5</v>
      </c>
      <c r="I342" s="12" t="n">
        <v>40132.6</v>
      </c>
      <c r="J342" s="10" t="s">
        <v>408</v>
      </c>
    </row>
    <row r="343" customFormat="false" ht="14.25" hidden="false" customHeight="true" outlineLevel="0" collapsed="false">
      <c r="A343" s="7" t="n">
        <v>2022</v>
      </c>
      <c r="B343" s="7" t="s">
        <v>107</v>
      </c>
      <c r="C343" s="7" t="s">
        <v>449</v>
      </c>
      <c r="D343" s="8" t="n">
        <v>1208421</v>
      </c>
      <c r="E343" s="8" t="n">
        <v>971995</v>
      </c>
      <c r="F343" s="9" t="n">
        <v>58016.69</v>
      </c>
      <c r="G343" s="9" t="n">
        <v>948333.33</v>
      </c>
      <c r="H343" s="9" t="n">
        <v>21.5</v>
      </c>
      <c r="I343" s="9" t="n">
        <v>39805.01399</v>
      </c>
      <c r="J343" s="7" t="s">
        <v>408</v>
      </c>
    </row>
    <row r="344" customFormat="false" ht="14.25" hidden="false" customHeight="true" outlineLevel="0" collapsed="false">
      <c r="A344" s="10" t="n">
        <v>2022</v>
      </c>
      <c r="B344" s="10" t="s">
        <v>107</v>
      </c>
      <c r="C344" s="10" t="s">
        <v>450</v>
      </c>
      <c r="D344" s="11" t="n">
        <v>1190753</v>
      </c>
      <c r="E344" s="11" t="n">
        <v>878571</v>
      </c>
      <c r="F344" s="12" t="n">
        <v>61359.91</v>
      </c>
      <c r="G344" s="12" t="n">
        <v>948333.33</v>
      </c>
      <c r="H344" s="12" t="n">
        <v>21.5</v>
      </c>
      <c r="I344" s="12" t="n">
        <v>41810.94599</v>
      </c>
      <c r="J344" s="10" t="s">
        <v>408</v>
      </c>
    </row>
    <row r="345" customFormat="false" ht="14.25" hidden="false" customHeight="true" outlineLevel="0" collapsed="false">
      <c r="A345" s="7" t="n">
        <v>2022</v>
      </c>
      <c r="B345" s="7" t="s">
        <v>107</v>
      </c>
      <c r="C345" s="7" t="s">
        <v>451</v>
      </c>
      <c r="D345" s="8" t="n">
        <v>994053</v>
      </c>
      <c r="E345" s="8" t="n">
        <v>857404</v>
      </c>
      <c r="F345" s="9" t="n">
        <v>64862.99</v>
      </c>
      <c r="G345" s="9" t="n">
        <v>948333.33</v>
      </c>
      <c r="H345" s="9" t="n">
        <v>21.5</v>
      </c>
      <c r="I345" s="9" t="n">
        <v>43912.79399</v>
      </c>
      <c r="J345" s="7" t="s">
        <v>408</v>
      </c>
    </row>
    <row r="346" customFormat="false" ht="14.25" hidden="false" customHeight="true" outlineLevel="0" collapsed="false">
      <c r="A346" s="10" t="n">
        <v>2022</v>
      </c>
      <c r="B346" s="10" t="s">
        <v>107</v>
      </c>
      <c r="C346" s="10" t="s">
        <v>452</v>
      </c>
      <c r="D346" s="11" t="n">
        <v>939161</v>
      </c>
      <c r="E346" s="11" t="n">
        <v>770095</v>
      </c>
      <c r="F346" s="12" t="n">
        <v>64702.83</v>
      </c>
      <c r="G346" s="12" t="n">
        <v>948333.33</v>
      </c>
      <c r="H346" s="12" t="n">
        <v>21.5</v>
      </c>
      <c r="I346" s="12" t="n">
        <v>43816.69799</v>
      </c>
      <c r="J346" s="10" t="s">
        <v>408</v>
      </c>
    </row>
    <row r="347" customFormat="false" ht="14.25" hidden="false" customHeight="true" outlineLevel="0" collapsed="false">
      <c r="A347" s="7" t="n">
        <v>2022</v>
      </c>
      <c r="B347" s="7" t="s">
        <v>107</v>
      </c>
      <c r="C347" s="7" t="s">
        <v>453</v>
      </c>
      <c r="D347" s="8" t="n">
        <v>1321322</v>
      </c>
      <c r="E347" s="8" t="n">
        <v>658591</v>
      </c>
      <c r="F347" s="9" t="n">
        <v>58208.46</v>
      </c>
      <c r="G347" s="9" t="n">
        <v>948333.33</v>
      </c>
      <c r="H347" s="9" t="n">
        <v>21.5</v>
      </c>
      <c r="I347" s="9" t="n">
        <v>39920.07599</v>
      </c>
      <c r="J347" s="7" t="s">
        <v>408</v>
      </c>
    </row>
    <row r="348" customFormat="false" ht="14.25" hidden="false" customHeight="true" outlineLevel="0" collapsed="false">
      <c r="A348" s="10" t="n">
        <v>2022</v>
      </c>
      <c r="B348" s="10" t="s">
        <v>113</v>
      </c>
      <c r="C348" s="10" t="s">
        <v>454</v>
      </c>
      <c r="D348" s="11" t="n">
        <v>1900121</v>
      </c>
      <c r="E348" s="11" t="n">
        <v>1115130</v>
      </c>
      <c r="F348" s="12" t="n">
        <v>55761.67</v>
      </c>
      <c r="G348" s="12" t="n">
        <v>1078000</v>
      </c>
      <c r="H348" s="12" t="n">
        <v>29.8</v>
      </c>
      <c r="I348" s="12" t="n">
        <v>39671.002</v>
      </c>
      <c r="J348" s="10" t="s">
        <v>408</v>
      </c>
    </row>
    <row r="349" customFormat="false" ht="14.25" hidden="false" customHeight="true" outlineLevel="0" collapsed="false">
      <c r="A349" s="7" t="n">
        <v>2022</v>
      </c>
      <c r="B349" s="7" t="s">
        <v>113</v>
      </c>
      <c r="C349" s="7" t="s">
        <v>455</v>
      </c>
      <c r="D349" s="8" t="n">
        <v>1987660</v>
      </c>
      <c r="E349" s="8" t="n">
        <v>1104428</v>
      </c>
      <c r="F349" s="9" t="n">
        <v>56204.52</v>
      </c>
      <c r="G349" s="9" t="n">
        <v>1078000</v>
      </c>
      <c r="H349" s="9" t="n">
        <v>29.8</v>
      </c>
      <c r="I349" s="9" t="n">
        <v>39936.712</v>
      </c>
      <c r="J349" s="7" t="s">
        <v>408</v>
      </c>
    </row>
    <row r="350" customFormat="false" ht="14.25" hidden="false" customHeight="true" outlineLevel="0" collapsed="false">
      <c r="A350" s="10" t="n">
        <v>2022</v>
      </c>
      <c r="B350" s="10" t="s">
        <v>113</v>
      </c>
      <c r="C350" s="10" t="s">
        <v>456</v>
      </c>
      <c r="D350" s="11" t="n">
        <v>1718467</v>
      </c>
      <c r="E350" s="11" t="n">
        <v>1074206</v>
      </c>
      <c r="F350" s="12" t="n">
        <v>60212.9</v>
      </c>
      <c r="G350" s="12" t="n">
        <v>1078000</v>
      </c>
      <c r="H350" s="12" t="n">
        <v>29.8</v>
      </c>
      <c r="I350" s="12" t="n">
        <v>42341.74</v>
      </c>
      <c r="J350" s="10" t="s">
        <v>408</v>
      </c>
    </row>
    <row r="351" customFormat="false" ht="14.25" hidden="false" customHeight="true" outlineLevel="0" collapsed="false">
      <c r="A351" s="7" t="n">
        <v>2022</v>
      </c>
      <c r="B351" s="7" t="s">
        <v>118</v>
      </c>
      <c r="C351" s="7" t="s">
        <v>457</v>
      </c>
      <c r="D351" s="8" t="n">
        <v>2007802</v>
      </c>
      <c r="E351" s="8" t="n">
        <v>1189089</v>
      </c>
      <c r="F351" s="9" t="n">
        <v>57253.81</v>
      </c>
      <c r="G351" s="9" t="n">
        <v>1220208.33</v>
      </c>
      <c r="H351" s="9" t="n">
        <v>39.1</v>
      </c>
      <c r="I351" s="9" t="n">
        <v>41922.91099</v>
      </c>
      <c r="J351" s="7" t="s">
        <v>408</v>
      </c>
    </row>
    <row r="352" customFormat="false" ht="14.25" hidden="false" customHeight="true" outlineLevel="0" collapsed="false">
      <c r="A352" s="10" t="n">
        <v>2022</v>
      </c>
      <c r="B352" s="10" t="s">
        <v>118</v>
      </c>
      <c r="C352" s="10" t="s">
        <v>458</v>
      </c>
      <c r="D352" s="11" t="n">
        <v>1635265</v>
      </c>
      <c r="E352" s="11" t="n">
        <v>879233</v>
      </c>
      <c r="F352" s="12" t="n">
        <v>56097.06</v>
      </c>
      <c r="G352" s="12" t="n">
        <v>1220208.33</v>
      </c>
      <c r="H352" s="12" t="n">
        <v>39.1</v>
      </c>
      <c r="I352" s="12" t="n">
        <v>41228.86099</v>
      </c>
      <c r="J352" s="10" t="s">
        <v>408</v>
      </c>
    </row>
    <row r="353" customFormat="false" ht="14.25" hidden="false" customHeight="true" outlineLevel="0" collapsed="false">
      <c r="A353" s="7" t="n">
        <v>2022</v>
      </c>
      <c r="B353" s="7" t="s">
        <v>118</v>
      </c>
      <c r="C353" s="7" t="s">
        <v>459</v>
      </c>
      <c r="D353" s="8" t="n">
        <v>1270865</v>
      </c>
      <c r="E353" s="8" t="n">
        <v>585122</v>
      </c>
      <c r="F353" s="9" t="n">
        <v>53577.13</v>
      </c>
      <c r="G353" s="9" t="n">
        <v>1220208.33</v>
      </c>
      <c r="H353" s="9" t="n">
        <v>39.1</v>
      </c>
      <c r="I353" s="9" t="n">
        <v>39716.90299</v>
      </c>
      <c r="J353" s="7" t="s">
        <v>408</v>
      </c>
    </row>
    <row r="354" customFormat="false" ht="14.25" hidden="false" customHeight="true" outlineLevel="0" collapsed="false">
      <c r="A354" s="10" t="n">
        <v>2022</v>
      </c>
      <c r="B354" s="10" t="s">
        <v>118</v>
      </c>
      <c r="C354" s="10" t="s">
        <v>460</v>
      </c>
      <c r="D354" s="11" t="n">
        <v>1415359</v>
      </c>
      <c r="E354" s="11" t="n">
        <v>745649</v>
      </c>
      <c r="F354" s="12" t="n">
        <v>52694.11</v>
      </c>
      <c r="G354" s="12" t="n">
        <v>1220208.33</v>
      </c>
      <c r="H354" s="12" t="n">
        <v>39.1</v>
      </c>
      <c r="I354" s="12" t="n">
        <v>39187.09099</v>
      </c>
      <c r="J354" s="10" t="s">
        <v>408</v>
      </c>
    </row>
    <row r="355" customFormat="false" ht="14.25" hidden="false" customHeight="true" outlineLevel="0" collapsed="false">
      <c r="A355" s="7" t="n">
        <v>2022</v>
      </c>
      <c r="B355" s="7" t="s">
        <v>123</v>
      </c>
      <c r="C355" s="7" t="s">
        <v>461</v>
      </c>
      <c r="D355" s="8" t="n">
        <v>1578534</v>
      </c>
      <c r="E355" s="8" t="n">
        <v>826551</v>
      </c>
      <c r="F355" s="9" t="n">
        <v>53371.5</v>
      </c>
      <c r="G355" s="9" t="n">
        <v>1334375</v>
      </c>
      <c r="H355" s="9" t="n">
        <v>54.6</v>
      </c>
      <c r="I355" s="9" t="n">
        <v>41486.025</v>
      </c>
      <c r="J355" s="7" t="s">
        <v>408</v>
      </c>
    </row>
    <row r="356" customFormat="false" ht="14.25" hidden="false" customHeight="true" outlineLevel="0" collapsed="false">
      <c r="A356" s="10" t="n">
        <v>2022</v>
      </c>
      <c r="B356" s="10" t="s">
        <v>123</v>
      </c>
      <c r="C356" s="10" t="s">
        <v>462</v>
      </c>
      <c r="D356" s="11" t="n">
        <v>2031571</v>
      </c>
      <c r="E356" s="11" t="n">
        <v>1143568</v>
      </c>
      <c r="F356" s="12" t="n">
        <v>52415.45</v>
      </c>
      <c r="G356" s="12" t="n">
        <v>1334375</v>
      </c>
      <c r="H356" s="12" t="n">
        <v>54.6</v>
      </c>
      <c r="I356" s="12" t="n">
        <v>40912.395</v>
      </c>
      <c r="J356" s="10" t="s">
        <v>408</v>
      </c>
    </row>
    <row r="357" customFormat="false" ht="14.25" hidden="false" customHeight="true" outlineLevel="0" collapsed="false">
      <c r="A357" s="7" t="n">
        <v>2022</v>
      </c>
      <c r="B357" s="7" t="s">
        <v>123</v>
      </c>
      <c r="C357" s="7" t="s">
        <v>463</v>
      </c>
      <c r="D357" s="8" t="n">
        <v>1581054</v>
      </c>
      <c r="E357" s="8" t="n">
        <v>776952</v>
      </c>
      <c r="F357" s="9" t="n">
        <v>45241.65</v>
      </c>
      <c r="G357" s="9" t="n">
        <v>1334375</v>
      </c>
      <c r="H357" s="9" t="n">
        <v>54.6</v>
      </c>
      <c r="I357" s="9" t="n">
        <v>36608.115</v>
      </c>
      <c r="J357" s="7" t="s">
        <v>408</v>
      </c>
    </row>
    <row r="358" customFormat="false" ht="14.25" hidden="false" customHeight="true" outlineLevel="0" collapsed="false">
      <c r="A358" s="10" t="n">
        <v>2022</v>
      </c>
      <c r="B358" s="10" t="s">
        <v>123</v>
      </c>
      <c r="C358" s="10" t="s">
        <v>464</v>
      </c>
      <c r="D358" s="11" t="n">
        <v>1393222</v>
      </c>
      <c r="E358" s="11" t="n">
        <v>965322</v>
      </c>
      <c r="F358" s="12" t="n">
        <v>46459</v>
      </c>
      <c r="G358" s="12" t="n">
        <v>1334375</v>
      </c>
      <c r="H358" s="12" t="n">
        <v>54.6</v>
      </c>
      <c r="I358" s="12" t="n">
        <v>37338.525</v>
      </c>
      <c r="J358" s="10" t="s">
        <v>408</v>
      </c>
    </row>
    <row r="359" customFormat="false" ht="14.25" hidden="false" customHeight="true" outlineLevel="0" collapsed="false">
      <c r="A359" s="7" t="n">
        <v>2022</v>
      </c>
      <c r="B359" s="7" t="s">
        <v>129</v>
      </c>
      <c r="C359" s="7" t="s">
        <v>465</v>
      </c>
      <c r="D359" s="8" t="n">
        <v>2747989</v>
      </c>
      <c r="E359" s="8" t="n">
        <v>1839344</v>
      </c>
      <c r="F359" s="9" t="n">
        <v>46258.27</v>
      </c>
      <c r="G359" s="9" t="n">
        <v>1228250</v>
      </c>
      <c r="H359" s="9" t="n">
        <v>66.7</v>
      </c>
      <c r="I359" s="9" t="n">
        <v>38109.712</v>
      </c>
      <c r="J359" s="7" t="s">
        <v>408</v>
      </c>
    </row>
    <row r="360" customFormat="false" ht="14.25" hidden="false" customHeight="true" outlineLevel="0" collapsed="false">
      <c r="A360" s="10" t="n">
        <v>2022</v>
      </c>
      <c r="B360" s="10" t="s">
        <v>129</v>
      </c>
      <c r="C360" s="10" t="s">
        <v>466</v>
      </c>
      <c r="D360" s="11" t="n">
        <v>1225557</v>
      </c>
      <c r="E360" s="11" t="n">
        <v>802895</v>
      </c>
      <c r="F360" s="12" t="n">
        <v>47928.69</v>
      </c>
      <c r="G360" s="12" t="n">
        <v>1228250</v>
      </c>
      <c r="H360" s="12" t="n">
        <v>66.7</v>
      </c>
      <c r="I360" s="12" t="n">
        <v>39111.964</v>
      </c>
      <c r="J360" s="10" t="s">
        <v>408</v>
      </c>
    </row>
    <row r="361" customFormat="false" ht="14.25" hidden="false" customHeight="true" outlineLevel="0" collapsed="false">
      <c r="A361" s="7" t="n">
        <v>2022</v>
      </c>
      <c r="B361" s="7" t="s">
        <v>129</v>
      </c>
      <c r="C361" s="7" t="s">
        <v>467</v>
      </c>
      <c r="D361" s="8" t="n">
        <v>1030227</v>
      </c>
      <c r="E361" s="8" t="n">
        <v>940385</v>
      </c>
      <c r="F361" s="9" t="n">
        <v>59769.87</v>
      </c>
      <c r="G361" s="9" t="n">
        <v>1228250</v>
      </c>
      <c r="H361" s="9" t="n">
        <v>66.7</v>
      </c>
      <c r="I361" s="9" t="n">
        <v>46216.672</v>
      </c>
      <c r="J361" s="7" t="s">
        <v>408</v>
      </c>
    </row>
    <row r="362" customFormat="false" ht="14.25" hidden="false" customHeight="true" outlineLevel="0" collapsed="false">
      <c r="A362" s="10" t="n">
        <v>2022</v>
      </c>
      <c r="B362" s="10" t="s">
        <v>129</v>
      </c>
      <c r="C362" s="10" t="s">
        <v>468</v>
      </c>
      <c r="D362" s="11" t="n">
        <v>1158029</v>
      </c>
      <c r="E362" s="11" t="n">
        <v>910006</v>
      </c>
      <c r="F362" s="12" t="n">
        <v>64115.55</v>
      </c>
      <c r="G362" s="12" t="n">
        <v>1228250</v>
      </c>
      <c r="H362" s="12" t="n">
        <v>66.7</v>
      </c>
      <c r="I362" s="12" t="n">
        <v>48824.08</v>
      </c>
      <c r="J362" s="10" t="s">
        <v>408</v>
      </c>
    </row>
    <row r="363" customFormat="false" ht="14.25" hidden="false" customHeight="true" outlineLevel="0" collapsed="false">
      <c r="A363" s="7" t="n">
        <v>2022</v>
      </c>
      <c r="B363" s="7" t="s">
        <v>134</v>
      </c>
      <c r="C363" s="7" t="s">
        <v>469</v>
      </c>
      <c r="D363" s="8" t="n">
        <v>1399382</v>
      </c>
      <c r="E363" s="8" t="n">
        <v>1210118</v>
      </c>
      <c r="F363" s="9" t="n">
        <v>62329.53</v>
      </c>
      <c r="G363" s="9" t="n">
        <v>1190340.91</v>
      </c>
      <c r="H363" s="9" t="n">
        <v>70.2</v>
      </c>
      <c r="I363" s="9" t="n">
        <v>47988.74073</v>
      </c>
      <c r="J363" s="7" t="s">
        <v>408</v>
      </c>
    </row>
    <row r="364" customFormat="false" ht="14.25" hidden="false" customHeight="true" outlineLevel="0" collapsed="false">
      <c r="A364" s="10" t="n">
        <v>2022</v>
      </c>
      <c r="B364" s="10" t="s">
        <v>134</v>
      </c>
      <c r="C364" s="10" t="s">
        <v>470</v>
      </c>
      <c r="D364" s="11" t="n">
        <v>1019395</v>
      </c>
      <c r="E364" s="11" t="n">
        <v>576906</v>
      </c>
      <c r="F364" s="12" t="n">
        <v>64618.23</v>
      </c>
      <c r="G364" s="12" t="n">
        <v>1190340.91</v>
      </c>
      <c r="H364" s="12" t="n">
        <v>70.2</v>
      </c>
      <c r="I364" s="12" t="n">
        <v>49361.96073</v>
      </c>
      <c r="J364" s="10" t="s">
        <v>408</v>
      </c>
    </row>
    <row r="365" customFormat="false" ht="14.25" hidden="false" customHeight="true" outlineLevel="0" collapsed="false">
      <c r="A365" s="7" t="n">
        <v>2022</v>
      </c>
      <c r="B365" s="7" t="s">
        <v>134</v>
      </c>
      <c r="C365" s="7" t="s">
        <v>471</v>
      </c>
      <c r="D365" s="8" t="n">
        <v>1061961</v>
      </c>
      <c r="E365" s="8" t="n">
        <v>589239</v>
      </c>
      <c r="F365" s="9" t="n">
        <v>65311.04</v>
      </c>
      <c r="G365" s="9" t="n">
        <v>1190340.91</v>
      </c>
      <c r="H365" s="9" t="n">
        <v>70.2</v>
      </c>
      <c r="I365" s="9" t="n">
        <v>49777.64673</v>
      </c>
      <c r="J365" s="7" t="s">
        <v>408</v>
      </c>
    </row>
    <row r="366" customFormat="false" ht="14.25" hidden="false" customHeight="true" outlineLevel="0" collapsed="false">
      <c r="A366" s="10" t="n">
        <v>2022</v>
      </c>
      <c r="B366" s="10" t="s">
        <v>134</v>
      </c>
      <c r="C366" s="10" t="s">
        <v>472</v>
      </c>
      <c r="D366" s="11" t="n">
        <v>1792391</v>
      </c>
      <c r="E366" s="11" t="n">
        <v>1452954</v>
      </c>
      <c r="F366" s="12" t="n">
        <v>64192.23</v>
      </c>
      <c r="G366" s="12" t="n">
        <v>1190340.91</v>
      </c>
      <c r="H366" s="12" t="n">
        <v>70.2</v>
      </c>
      <c r="I366" s="12" t="n">
        <v>49106.36073</v>
      </c>
      <c r="J366" s="10" t="s">
        <v>408</v>
      </c>
    </row>
    <row r="367" customFormat="false" ht="14.25" hidden="false" customHeight="true" outlineLevel="0" collapsed="false">
      <c r="A367" s="7" t="n">
        <v>2022</v>
      </c>
      <c r="B367" s="7" t="s">
        <v>140</v>
      </c>
      <c r="C367" s="7" t="s">
        <v>473</v>
      </c>
      <c r="D367" s="8" t="n">
        <v>1163</v>
      </c>
      <c r="E367" s="8" t="n">
        <v>843597</v>
      </c>
      <c r="F367" s="9" t="n">
        <v>63361.6</v>
      </c>
      <c r="G367" s="9" t="n">
        <v>1173214.29</v>
      </c>
      <c r="H367" s="9" t="n">
        <v>69.8</v>
      </c>
      <c r="I367" s="9" t="n">
        <v>48516.60287</v>
      </c>
      <c r="J367" s="7" t="s">
        <v>408</v>
      </c>
    </row>
    <row r="368" customFormat="false" ht="14.25" hidden="false" customHeight="true" outlineLevel="0" collapsed="false">
      <c r="A368" s="10" t="n">
        <v>2022</v>
      </c>
      <c r="B368" s="10" t="s">
        <v>140</v>
      </c>
      <c r="C368" s="10" t="s">
        <v>474</v>
      </c>
      <c r="D368" s="11" t="n">
        <v>1309247</v>
      </c>
      <c r="E368" s="11" t="n">
        <v>959249</v>
      </c>
      <c r="F368" s="12" t="n">
        <v>61308.49</v>
      </c>
      <c r="G368" s="12" t="n">
        <v>1173214.29</v>
      </c>
      <c r="H368" s="12" t="n">
        <v>69.8</v>
      </c>
      <c r="I368" s="12" t="n">
        <v>47284.73687</v>
      </c>
      <c r="J368" s="10" t="s">
        <v>408</v>
      </c>
    </row>
    <row r="369" customFormat="false" ht="14.25" hidden="false" customHeight="true" outlineLevel="0" collapsed="false">
      <c r="A369" s="7" t="n">
        <v>2022</v>
      </c>
      <c r="B369" s="7" t="s">
        <v>140</v>
      </c>
      <c r="C369" s="7" t="s">
        <v>475</v>
      </c>
      <c r="D369" s="8" t="n">
        <v>822908</v>
      </c>
      <c r="E369" s="8" t="n">
        <v>455570</v>
      </c>
      <c r="F369" s="9" t="n">
        <v>58355.51</v>
      </c>
      <c r="G369" s="9" t="n">
        <v>1173214.29</v>
      </c>
      <c r="H369" s="9" t="n">
        <v>69.8</v>
      </c>
      <c r="I369" s="9" t="n">
        <v>45512.94887</v>
      </c>
      <c r="J369" s="7" t="s">
        <v>408</v>
      </c>
    </row>
    <row r="370" customFormat="false" ht="14.25" hidden="false" customHeight="true" outlineLevel="0" collapsed="false">
      <c r="A370" s="10" t="n">
        <v>2022</v>
      </c>
      <c r="B370" s="10" t="s">
        <v>140</v>
      </c>
      <c r="C370" s="10" t="s">
        <v>476</v>
      </c>
      <c r="D370" s="11" t="n">
        <v>1020438</v>
      </c>
      <c r="E370" s="11" t="n">
        <v>813551</v>
      </c>
      <c r="F370" s="12" t="n">
        <v>57396.19</v>
      </c>
      <c r="G370" s="12" t="n">
        <v>1173214.29</v>
      </c>
      <c r="H370" s="12" t="n">
        <v>69.8</v>
      </c>
      <c r="I370" s="12" t="n">
        <v>44937.35687</v>
      </c>
      <c r="J370" s="10" t="s">
        <v>408</v>
      </c>
    </row>
    <row r="371" customFormat="false" ht="14.25" hidden="false" customHeight="true" outlineLevel="0" collapsed="false">
      <c r="A371" s="7" t="n">
        <v>2022</v>
      </c>
      <c r="B371" s="7" t="s">
        <v>140</v>
      </c>
      <c r="C371" s="7" t="s">
        <v>477</v>
      </c>
      <c r="D371" s="8" t="n">
        <v>1018186</v>
      </c>
      <c r="E371" s="8" t="n">
        <v>706009</v>
      </c>
      <c r="F371" s="9" t="n">
        <v>58516.87</v>
      </c>
      <c r="G371" s="9" t="n">
        <v>1173214.29</v>
      </c>
      <c r="H371" s="9" t="n">
        <v>69.8</v>
      </c>
      <c r="I371" s="9" t="n">
        <v>45609.76487</v>
      </c>
      <c r="J371" s="7" t="s">
        <v>408</v>
      </c>
    </row>
    <row r="372" customFormat="false" ht="14.25" hidden="false" customHeight="true" outlineLevel="0" collapsed="false">
      <c r="A372" s="10" t="n">
        <v>2022</v>
      </c>
      <c r="B372" s="10" t="s">
        <v>145</v>
      </c>
      <c r="C372" s="10" t="s">
        <v>478</v>
      </c>
      <c r="D372" s="11" t="n">
        <v>1381134</v>
      </c>
      <c r="E372" s="11" t="n">
        <v>970638</v>
      </c>
      <c r="F372" s="12" t="n">
        <v>59180.08</v>
      </c>
      <c r="G372" s="12" t="n">
        <v>1094736.84</v>
      </c>
      <c r="H372" s="12" t="n">
        <v>70.6</v>
      </c>
      <c r="I372" s="12" t="n">
        <v>45852.25852</v>
      </c>
      <c r="J372" s="10" t="s">
        <v>408</v>
      </c>
    </row>
    <row r="373" customFormat="false" ht="14.25" hidden="false" customHeight="true" outlineLevel="0" collapsed="false">
      <c r="A373" s="7" t="n">
        <v>2022</v>
      </c>
      <c r="B373" s="7" t="s">
        <v>145</v>
      </c>
      <c r="C373" s="7" t="s">
        <v>479</v>
      </c>
      <c r="D373" s="8" t="n">
        <v>1125036</v>
      </c>
      <c r="E373" s="8" t="n">
        <v>825176</v>
      </c>
      <c r="F373" s="9" t="n">
        <v>59236.26</v>
      </c>
      <c r="G373" s="9" t="n">
        <v>1094736.84</v>
      </c>
      <c r="H373" s="9" t="n">
        <v>70.6</v>
      </c>
      <c r="I373" s="9" t="n">
        <v>45885.96652</v>
      </c>
      <c r="J373" s="7" t="s">
        <v>408</v>
      </c>
    </row>
    <row r="374" customFormat="false" ht="14.25" hidden="false" customHeight="true" outlineLevel="0" collapsed="false">
      <c r="A374" s="10" t="n">
        <v>2022</v>
      </c>
      <c r="B374" s="10" t="s">
        <v>145</v>
      </c>
      <c r="C374" s="10" t="s">
        <v>480</v>
      </c>
      <c r="D374" s="11" t="n">
        <v>687621</v>
      </c>
      <c r="E374" s="11" t="n">
        <v>639610</v>
      </c>
      <c r="F374" s="12" t="n">
        <v>62037.99</v>
      </c>
      <c r="G374" s="12" t="n">
        <v>1094736.84</v>
      </c>
      <c r="H374" s="12" t="n">
        <v>70.6</v>
      </c>
      <c r="I374" s="12" t="n">
        <v>47567.00452</v>
      </c>
      <c r="J374" s="10" t="s">
        <v>408</v>
      </c>
    </row>
    <row r="375" customFormat="false" ht="14.25" hidden="false" customHeight="true" outlineLevel="0" collapsed="false">
      <c r="A375" s="7" t="n">
        <v>2022</v>
      </c>
      <c r="B375" s="7" t="s">
        <v>145</v>
      </c>
      <c r="C375" s="7" t="s">
        <v>481</v>
      </c>
      <c r="D375" s="8" t="n">
        <v>580619</v>
      </c>
      <c r="E375" s="8" t="n">
        <v>480225</v>
      </c>
      <c r="F375" s="9" t="n">
        <v>65388</v>
      </c>
      <c r="G375" s="9" t="n">
        <v>1094736.84</v>
      </c>
      <c r="H375" s="9" t="n">
        <v>70.6</v>
      </c>
      <c r="I375" s="9" t="n">
        <v>49577.01052</v>
      </c>
      <c r="J375" s="7" t="s">
        <v>408</v>
      </c>
    </row>
    <row r="376" customFormat="false" ht="14.25" hidden="false" customHeight="true" outlineLevel="0" collapsed="false">
      <c r="A376" s="10" t="n">
        <v>2022</v>
      </c>
      <c r="B376" s="10" t="s">
        <v>150</v>
      </c>
      <c r="C376" s="10" t="s">
        <v>482</v>
      </c>
      <c r="D376" s="11" t="n">
        <v>700664</v>
      </c>
      <c r="E376" s="11" t="n">
        <v>555095</v>
      </c>
      <c r="F376" s="12" t="n">
        <v>64122.02</v>
      </c>
      <c r="G376" s="12" t="n">
        <v>858095.24</v>
      </c>
      <c r="H376" s="12" t="n">
        <v>65</v>
      </c>
      <c r="I376" s="12" t="n">
        <v>47547.49772</v>
      </c>
      <c r="J376" s="10" t="s">
        <v>408</v>
      </c>
    </row>
    <row r="377" customFormat="false" ht="14.25" hidden="false" customHeight="true" outlineLevel="0" collapsed="false">
      <c r="A377" s="7" t="n">
        <v>2022</v>
      </c>
      <c r="B377" s="7" t="s">
        <v>150</v>
      </c>
      <c r="C377" s="7" t="s">
        <v>483</v>
      </c>
      <c r="D377" s="8" t="n">
        <v>795369</v>
      </c>
      <c r="E377" s="8" t="n">
        <v>653587</v>
      </c>
      <c r="F377" s="9" t="n">
        <v>63659.82</v>
      </c>
      <c r="G377" s="9" t="n">
        <v>858095.24</v>
      </c>
      <c r="H377" s="9" t="n">
        <v>65</v>
      </c>
      <c r="I377" s="9" t="n">
        <v>47270.17772</v>
      </c>
      <c r="J377" s="7" t="s">
        <v>408</v>
      </c>
    </row>
    <row r="378" customFormat="false" ht="14.25" hidden="false" customHeight="true" outlineLevel="0" collapsed="false">
      <c r="A378" s="10" t="n">
        <v>2022</v>
      </c>
      <c r="B378" s="10" t="s">
        <v>150</v>
      </c>
      <c r="C378" s="10" t="s">
        <v>484</v>
      </c>
      <c r="D378" s="11" t="n">
        <v>462236</v>
      </c>
      <c r="E378" s="11" t="n">
        <v>397953</v>
      </c>
      <c r="F378" s="12" t="n">
        <v>64154.05</v>
      </c>
      <c r="G378" s="12" t="n">
        <v>858095.24</v>
      </c>
      <c r="H378" s="12" t="n">
        <v>65</v>
      </c>
      <c r="I378" s="12" t="n">
        <v>47566.71572</v>
      </c>
      <c r="J378" s="10" t="s">
        <v>408</v>
      </c>
    </row>
    <row r="379" customFormat="false" ht="14.25" hidden="false" customHeight="true" outlineLevel="0" collapsed="false">
      <c r="A379" s="7" t="n">
        <v>2022</v>
      </c>
      <c r="B379" s="7" t="s">
        <v>150</v>
      </c>
      <c r="C379" s="7" t="s">
        <v>485</v>
      </c>
      <c r="D379" s="8" t="n">
        <v>502417</v>
      </c>
      <c r="E379" s="8" t="n">
        <v>362167</v>
      </c>
      <c r="F379" s="9" t="n">
        <v>66247.2</v>
      </c>
      <c r="G379" s="9" t="n">
        <v>858095.24</v>
      </c>
      <c r="H379" s="9" t="n">
        <v>65</v>
      </c>
      <c r="I379" s="9" t="n">
        <v>48822.60572</v>
      </c>
      <c r="J379" s="7" t="s">
        <v>408</v>
      </c>
    </row>
    <row r="380" customFormat="false" ht="14.25" hidden="false" customHeight="true" outlineLevel="0" collapsed="false">
      <c r="A380" s="10" t="n">
        <v>2022</v>
      </c>
      <c r="B380" s="10" t="s">
        <v>156</v>
      </c>
      <c r="C380" s="10" t="s">
        <v>486</v>
      </c>
      <c r="D380" s="11" t="n">
        <v>613859</v>
      </c>
      <c r="E380" s="11" t="n">
        <v>538449</v>
      </c>
      <c r="F380" s="12" t="n">
        <v>69975.88</v>
      </c>
      <c r="G380" s="12" t="n">
        <v>756500</v>
      </c>
      <c r="H380" s="12" t="n">
        <v>59.2</v>
      </c>
      <c r="I380" s="12" t="n">
        <v>50175.028</v>
      </c>
      <c r="J380" s="10" t="s">
        <v>408</v>
      </c>
    </row>
    <row r="381" customFormat="false" ht="14.25" hidden="false" customHeight="true" outlineLevel="0" collapsed="false">
      <c r="A381" s="7" t="n">
        <v>2022</v>
      </c>
      <c r="B381" s="7" t="s">
        <v>156</v>
      </c>
      <c r="C381" s="7" t="s">
        <v>487</v>
      </c>
      <c r="D381" s="8" t="n">
        <v>722163</v>
      </c>
      <c r="E381" s="8" t="n">
        <v>547365</v>
      </c>
      <c r="F381" s="9" t="n">
        <v>76438.65</v>
      </c>
      <c r="G381" s="9" t="n">
        <v>756500</v>
      </c>
      <c r="H381" s="9" t="n">
        <v>59.2</v>
      </c>
      <c r="I381" s="9" t="n">
        <v>54052.69</v>
      </c>
      <c r="J381" s="7" t="s">
        <v>408</v>
      </c>
    </row>
    <row r="382" customFormat="false" ht="14.25" hidden="false" customHeight="true" outlineLevel="0" collapsed="false">
      <c r="A382" s="10" t="n">
        <v>2022</v>
      </c>
      <c r="B382" s="10" t="s">
        <v>156</v>
      </c>
      <c r="C382" s="10" t="s">
        <v>488</v>
      </c>
      <c r="D382" s="11" t="n">
        <v>440460</v>
      </c>
      <c r="E382" s="11" t="n">
        <v>391427</v>
      </c>
      <c r="F382" s="12" t="n">
        <v>77786.14</v>
      </c>
      <c r="G382" s="12" t="n">
        <v>756500</v>
      </c>
      <c r="H382" s="12" t="n">
        <v>59.2</v>
      </c>
      <c r="I382" s="12" t="n">
        <v>54861.184</v>
      </c>
      <c r="J382" s="10" t="s">
        <v>408</v>
      </c>
    </row>
    <row r="383" customFormat="false" ht="14.25" hidden="false" customHeight="true" outlineLevel="0" collapsed="false">
      <c r="A383" s="7" t="n">
        <v>2022</v>
      </c>
      <c r="B383" s="7" t="s">
        <v>156</v>
      </c>
      <c r="C383" s="7" t="s">
        <v>489</v>
      </c>
      <c r="D383" s="8" t="n">
        <v>486798</v>
      </c>
      <c r="E383" s="8" t="n">
        <v>466375</v>
      </c>
      <c r="F383" s="9" t="n">
        <v>81304.22</v>
      </c>
      <c r="G383" s="9" t="n">
        <v>756500</v>
      </c>
      <c r="H383" s="9" t="n">
        <v>59.2</v>
      </c>
      <c r="I383" s="9" t="n">
        <v>56972.032</v>
      </c>
      <c r="J383" s="7" t="s">
        <v>408</v>
      </c>
    </row>
    <row r="384" customFormat="false" ht="14.25" hidden="false" customHeight="true" outlineLevel="0" collapsed="false">
      <c r="A384" s="10" t="n">
        <v>2023</v>
      </c>
      <c r="B384" s="10" t="s">
        <v>96</v>
      </c>
      <c r="C384" s="10" t="s">
        <v>490</v>
      </c>
      <c r="D384" s="11" t="n">
        <v>800438</v>
      </c>
      <c r="E384" s="11" t="n">
        <v>655086</v>
      </c>
      <c r="F384" s="12" t="n">
        <v>82452.09</v>
      </c>
      <c r="G384" s="12" t="n">
        <v>722619.05</v>
      </c>
      <c r="H384" s="12" t="n">
        <v>54.2</v>
      </c>
      <c r="I384" s="12" t="n">
        <v>57059.11115</v>
      </c>
      <c r="J384" s="10" t="s">
        <v>319</v>
      </c>
    </row>
    <row r="385" customFormat="false" ht="14.25" hidden="false" customHeight="true" outlineLevel="0" collapsed="false">
      <c r="A385" s="7" t="n">
        <v>2023</v>
      </c>
      <c r="B385" s="7" t="s">
        <v>96</v>
      </c>
      <c r="C385" s="7" t="s">
        <v>491</v>
      </c>
      <c r="D385" s="8" t="n">
        <v>415059</v>
      </c>
      <c r="E385" s="8" t="n">
        <v>317407</v>
      </c>
      <c r="F385" s="9" t="n">
        <v>79037.36</v>
      </c>
      <c r="G385" s="9" t="n">
        <v>722619.05</v>
      </c>
      <c r="H385" s="9" t="n">
        <v>54.2</v>
      </c>
      <c r="I385" s="9" t="n">
        <v>55010.27315</v>
      </c>
      <c r="J385" s="7" t="s">
        <v>319</v>
      </c>
    </row>
    <row r="386" customFormat="false" ht="14.25" hidden="false" customHeight="true" outlineLevel="0" collapsed="false">
      <c r="A386" s="10" t="n">
        <v>2023</v>
      </c>
      <c r="B386" s="10" t="s">
        <v>96</v>
      </c>
      <c r="C386" s="10" t="s">
        <v>492</v>
      </c>
      <c r="D386" s="11" t="n">
        <v>538269</v>
      </c>
      <c r="E386" s="11" t="n">
        <v>422970</v>
      </c>
      <c r="F386" s="12" t="n">
        <v>84116.85</v>
      </c>
      <c r="G386" s="12" t="n">
        <v>722619.05</v>
      </c>
      <c r="H386" s="12" t="n">
        <v>54.2</v>
      </c>
      <c r="I386" s="12" t="n">
        <v>58057.96715</v>
      </c>
      <c r="J386" s="10" t="s">
        <v>319</v>
      </c>
    </row>
    <row r="387" customFormat="false" ht="14.25" hidden="false" customHeight="true" outlineLevel="0" collapsed="false">
      <c r="A387" s="7" t="n">
        <v>2023</v>
      </c>
      <c r="B387" s="7" t="s">
        <v>96</v>
      </c>
      <c r="C387" s="7" t="s">
        <v>493</v>
      </c>
      <c r="D387" s="8" t="n">
        <v>469564</v>
      </c>
      <c r="E387" s="8" t="n">
        <v>300983</v>
      </c>
      <c r="F387" s="9" t="n">
        <v>80811.89</v>
      </c>
      <c r="G387" s="9" t="n">
        <v>722619.05</v>
      </c>
      <c r="H387" s="9" t="n">
        <v>54.2</v>
      </c>
      <c r="I387" s="9" t="n">
        <v>56074.99115</v>
      </c>
      <c r="J387" s="7" t="s">
        <v>319</v>
      </c>
    </row>
    <row r="388" customFormat="false" ht="14.25" hidden="false" customHeight="true" outlineLevel="0" collapsed="false">
      <c r="A388" s="10" t="n">
        <v>2023</v>
      </c>
      <c r="B388" s="10" t="s">
        <v>102</v>
      </c>
      <c r="C388" s="10" t="s">
        <v>494</v>
      </c>
      <c r="D388" s="11" t="n">
        <v>593513</v>
      </c>
      <c r="E388" s="11" t="n">
        <v>370006</v>
      </c>
      <c r="F388" s="12" t="n">
        <v>75396.69</v>
      </c>
      <c r="G388" s="12" t="n">
        <v>755450</v>
      </c>
      <c r="H388" s="12" t="n">
        <v>50.6</v>
      </c>
      <c r="I388" s="12" t="n">
        <v>52564.364</v>
      </c>
      <c r="J388" s="10" t="s">
        <v>319</v>
      </c>
    </row>
    <row r="389" customFormat="false" ht="14.25" hidden="false" customHeight="true" outlineLevel="0" collapsed="false">
      <c r="A389" s="7" t="n">
        <v>2023</v>
      </c>
      <c r="B389" s="7" t="s">
        <v>102</v>
      </c>
      <c r="C389" s="7" t="s">
        <v>495</v>
      </c>
      <c r="D389" s="8" t="n">
        <v>778515</v>
      </c>
      <c r="E389" s="8" t="n">
        <v>694723</v>
      </c>
      <c r="F389" s="9" t="n">
        <v>73480.97</v>
      </c>
      <c r="G389" s="9" t="n">
        <v>755450</v>
      </c>
      <c r="H389" s="9" t="n">
        <v>50.6</v>
      </c>
      <c r="I389" s="9" t="n">
        <v>51414.932</v>
      </c>
      <c r="J389" s="7" t="s">
        <v>319</v>
      </c>
    </row>
    <row r="390" customFormat="false" ht="14.25" hidden="false" customHeight="true" outlineLevel="0" collapsed="false">
      <c r="A390" s="10" t="n">
        <v>2023</v>
      </c>
      <c r="B390" s="10" t="s">
        <v>102</v>
      </c>
      <c r="C390" s="10" t="s">
        <v>496</v>
      </c>
      <c r="D390" s="11" t="n">
        <v>339874</v>
      </c>
      <c r="E390" s="11" t="n">
        <v>298128</v>
      </c>
      <c r="F390" s="12" t="n">
        <v>80736.72</v>
      </c>
      <c r="G390" s="12" t="n">
        <v>755450</v>
      </c>
      <c r="H390" s="12" t="n">
        <v>50.6</v>
      </c>
      <c r="I390" s="12" t="n">
        <v>55768.382</v>
      </c>
      <c r="J390" s="10" t="s">
        <v>319</v>
      </c>
    </row>
    <row r="391" customFormat="false" ht="14.25" hidden="false" customHeight="true" outlineLevel="0" collapsed="false">
      <c r="A391" s="7" t="n">
        <v>2023</v>
      </c>
      <c r="B391" s="7" t="s">
        <v>102</v>
      </c>
      <c r="C391" s="7" t="s">
        <v>497</v>
      </c>
      <c r="D391" s="8" t="n">
        <v>399797</v>
      </c>
      <c r="E391" s="8" t="n">
        <v>358567</v>
      </c>
      <c r="F391" s="9" t="n">
        <v>85014.15</v>
      </c>
      <c r="G391" s="9" t="n">
        <v>755450</v>
      </c>
      <c r="H391" s="9" t="n">
        <v>50.6</v>
      </c>
      <c r="I391" s="9" t="n">
        <v>58334.84</v>
      </c>
      <c r="J391" s="7" t="s">
        <v>319</v>
      </c>
    </row>
    <row r="392" customFormat="false" ht="14.25" hidden="false" customHeight="true" outlineLevel="0" collapsed="false">
      <c r="A392" s="10" t="n">
        <v>2023</v>
      </c>
      <c r="B392" s="10" t="s">
        <v>107</v>
      </c>
      <c r="C392" s="10" t="s">
        <v>498</v>
      </c>
      <c r="D392" s="11" t="n">
        <v>711308</v>
      </c>
      <c r="E392" s="11" t="n">
        <v>579801</v>
      </c>
      <c r="F392" s="12" t="n">
        <v>84355.08</v>
      </c>
      <c r="G392" s="12" t="n">
        <v>794204.55</v>
      </c>
      <c r="H392" s="12" t="n">
        <v>47.6</v>
      </c>
      <c r="I392" s="12" t="n">
        <v>57755.66165</v>
      </c>
      <c r="J392" s="10" t="s">
        <v>319</v>
      </c>
    </row>
    <row r="393" customFormat="false" ht="14.25" hidden="false" customHeight="true" outlineLevel="0" collapsed="false">
      <c r="A393" s="7" t="n">
        <v>2023</v>
      </c>
      <c r="B393" s="7" t="s">
        <v>107</v>
      </c>
      <c r="C393" s="7" t="s">
        <v>499</v>
      </c>
      <c r="D393" s="8" t="n">
        <v>876948</v>
      </c>
      <c r="E393" s="8" t="n">
        <v>658494</v>
      </c>
      <c r="F393" s="9" t="n">
        <v>82151.06</v>
      </c>
      <c r="G393" s="9" t="n">
        <v>794204.55</v>
      </c>
      <c r="H393" s="9" t="n">
        <v>47.6</v>
      </c>
      <c r="I393" s="9" t="n">
        <v>56433.24965</v>
      </c>
      <c r="J393" s="7" t="s">
        <v>319</v>
      </c>
    </row>
    <row r="394" customFormat="false" ht="14.25" hidden="false" customHeight="true" outlineLevel="0" collapsed="false">
      <c r="A394" s="10" t="n">
        <v>2023</v>
      </c>
      <c r="B394" s="10" t="s">
        <v>107</v>
      </c>
      <c r="C394" s="10" t="s">
        <v>500</v>
      </c>
      <c r="D394" s="11" t="n">
        <v>574807</v>
      </c>
      <c r="E394" s="11" t="n">
        <v>416815</v>
      </c>
      <c r="F394" s="12" t="n">
        <v>82260.58</v>
      </c>
      <c r="G394" s="12" t="n">
        <v>794204.55</v>
      </c>
      <c r="H394" s="12" t="n">
        <v>47.6</v>
      </c>
      <c r="I394" s="12" t="n">
        <v>56498.96165</v>
      </c>
      <c r="J394" s="10" t="s">
        <v>319</v>
      </c>
    </row>
    <row r="395" customFormat="false" ht="14.25" hidden="false" customHeight="true" outlineLevel="0" collapsed="false">
      <c r="A395" s="7" t="n">
        <v>2023</v>
      </c>
      <c r="B395" s="7" t="s">
        <v>107</v>
      </c>
      <c r="C395" s="7" t="s">
        <v>501</v>
      </c>
      <c r="D395" s="8" t="n">
        <v>900010</v>
      </c>
      <c r="E395" s="8" t="n">
        <v>583291</v>
      </c>
      <c r="F395" s="9" t="n">
        <v>83219.45</v>
      </c>
      <c r="G395" s="9" t="n">
        <v>794204.55</v>
      </c>
      <c r="H395" s="9" t="n">
        <v>47.6</v>
      </c>
      <c r="I395" s="9" t="n">
        <v>57074.28365</v>
      </c>
      <c r="J395" s="7" t="s">
        <v>319</v>
      </c>
    </row>
    <row r="396" customFormat="false" ht="14.25" hidden="false" customHeight="true" outlineLevel="0" collapsed="false">
      <c r="A396" s="10" t="n">
        <v>2023</v>
      </c>
      <c r="B396" s="10" t="s">
        <v>107</v>
      </c>
      <c r="C396" s="10" t="s">
        <v>502</v>
      </c>
      <c r="D396" s="11" t="n">
        <v>1122984</v>
      </c>
      <c r="E396" s="11" t="n">
        <v>780932</v>
      </c>
      <c r="F396" s="12" t="n">
        <v>78225.84</v>
      </c>
      <c r="G396" s="12" t="n">
        <v>794204.55</v>
      </c>
      <c r="H396" s="12" t="n">
        <v>47.6</v>
      </c>
      <c r="I396" s="12" t="n">
        <v>54078.11765</v>
      </c>
      <c r="J396" s="10" t="s">
        <v>319</v>
      </c>
    </row>
    <row r="397" customFormat="false" ht="14.25" hidden="false" customHeight="true" outlineLevel="0" collapsed="false">
      <c r="A397" s="7" t="n">
        <v>2023</v>
      </c>
      <c r="B397" s="7" t="s">
        <v>113</v>
      </c>
      <c r="C397" s="7" t="s">
        <v>503</v>
      </c>
      <c r="D397" s="8" t="n">
        <v>1394310</v>
      </c>
      <c r="E397" s="8" t="n">
        <v>1005534</v>
      </c>
      <c r="F397" s="9" t="n">
        <v>73367.88</v>
      </c>
      <c r="G397" s="9" t="n">
        <v>742272.73</v>
      </c>
      <c r="H397" s="9" t="n">
        <v>35.3</v>
      </c>
      <c r="I397" s="9" t="n">
        <v>49777.54619</v>
      </c>
      <c r="J397" s="7" t="s">
        <v>319</v>
      </c>
    </row>
    <row r="398" customFormat="false" ht="14.25" hidden="false" customHeight="true" outlineLevel="0" collapsed="false">
      <c r="A398" s="10" t="n">
        <v>2023</v>
      </c>
      <c r="B398" s="10" t="s">
        <v>113</v>
      </c>
      <c r="C398" s="10" t="s">
        <v>504</v>
      </c>
      <c r="D398" s="11" t="n">
        <v>969816</v>
      </c>
      <c r="E398" s="11" t="n">
        <v>770670</v>
      </c>
      <c r="F398" s="12" t="n">
        <v>72796.05</v>
      </c>
      <c r="G398" s="12" t="n">
        <v>742272.73</v>
      </c>
      <c r="H398" s="12" t="n">
        <v>35.3</v>
      </c>
      <c r="I398" s="12" t="n">
        <v>49434.44819</v>
      </c>
      <c r="J398" s="10" t="s">
        <v>319</v>
      </c>
    </row>
    <row r="399" customFormat="false" ht="14.25" hidden="false" customHeight="true" outlineLevel="0" collapsed="false">
      <c r="A399" s="7" t="n">
        <v>2023</v>
      </c>
      <c r="B399" s="7" t="s">
        <v>113</v>
      </c>
      <c r="C399" s="7" t="s">
        <v>505</v>
      </c>
      <c r="D399" s="8" t="n">
        <v>642215</v>
      </c>
      <c r="E399" s="8" t="n">
        <v>575824</v>
      </c>
      <c r="F399" s="9" t="n">
        <v>69687.49</v>
      </c>
      <c r="G399" s="9" t="n">
        <v>742272.73</v>
      </c>
      <c r="H399" s="9" t="n">
        <v>35.3</v>
      </c>
      <c r="I399" s="9" t="n">
        <v>47569.31219</v>
      </c>
      <c r="J399" s="7" t="s">
        <v>319</v>
      </c>
    </row>
    <row r="400" customFormat="false" ht="14.25" hidden="false" customHeight="true" outlineLevel="0" collapsed="false">
      <c r="A400" s="10" t="n">
        <v>2023</v>
      </c>
      <c r="B400" s="10" t="s">
        <v>118</v>
      </c>
      <c r="C400" s="10" t="s">
        <v>506</v>
      </c>
      <c r="D400" s="11" t="n">
        <v>1286099</v>
      </c>
      <c r="E400" s="11" t="n">
        <v>969609</v>
      </c>
      <c r="F400" s="12" t="n">
        <v>64375.81</v>
      </c>
      <c r="G400" s="12" t="n">
        <v>723571.43</v>
      </c>
      <c r="H400" s="12" t="n">
        <v>25.2</v>
      </c>
      <c r="I400" s="12" t="n">
        <v>43316.20029</v>
      </c>
      <c r="J400" s="10" t="s">
        <v>319</v>
      </c>
    </row>
    <row r="401" customFormat="false" ht="14.25" hidden="false" customHeight="true" outlineLevel="0" collapsed="false">
      <c r="A401" s="7" t="n">
        <v>2023</v>
      </c>
      <c r="B401" s="7" t="s">
        <v>118</v>
      </c>
      <c r="C401" s="7" t="s">
        <v>507</v>
      </c>
      <c r="D401" s="8" t="n">
        <v>828387</v>
      </c>
      <c r="E401" s="8" t="n">
        <v>475826</v>
      </c>
      <c r="F401" s="9" t="n">
        <v>64440.15</v>
      </c>
      <c r="G401" s="9" t="n">
        <v>723571.43</v>
      </c>
      <c r="H401" s="9" t="n">
        <v>25.2</v>
      </c>
      <c r="I401" s="9" t="n">
        <v>43354.80429</v>
      </c>
      <c r="J401" s="7" t="s">
        <v>319</v>
      </c>
    </row>
    <row r="402" customFormat="false" ht="14.25" hidden="false" customHeight="true" outlineLevel="0" collapsed="false">
      <c r="A402" s="10" t="n">
        <v>2023</v>
      </c>
      <c r="B402" s="10" t="s">
        <v>118</v>
      </c>
      <c r="C402" s="10" t="s">
        <v>508</v>
      </c>
      <c r="D402" s="11" t="n">
        <v>936758</v>
      </c>
      <c r="E402" s="11" t="n">
        <v>690112</v>
      </c>
      <c r="F402" s="12" t="n">
        <v>66301.51</v>
      </c>
      <c r="G402" s="12" t="n">
        <v>723571.43</v>
      </c>
      <c r="H402" s="12" t="n">
        <v>25.2</v>
      </c>
      <c r="I402" s="12" t="n">
        <v>44471.62029</v>
      </c>
      <c r="J402" s="10" t="s">
        <v>319</v>
      </c>
    </row>
    <row r="403" customFormat="false" ht="14.25" hidden="false" customHeight="true" outlineLevel="0" collapsed="false">
      <c r="A403" s="7" t="n">
        <v>2023</v>
      </c>
      <c r="B403" s="7" t="s">
        <v>118</v>
      </c>
      <c r="C403" s="7" t="s">
        <v>509</v>
      </c>
      <c r="D403" s="8" t="n">
        <v>678770</v>
      </c>
      <c r="E403" s="8" t="n">
        <v>512848</v>
      </c>
      <c r="F403" s="9" t="n">
        <v>69699.63</v>
      </c>
      <c r="G403" s="9" t="n">
        <v>723571.43</v>
      </c>
      <c r="H403" s="9" t="n">
        <v>25.2</v>
      </c>
      <c r="I403" s="9" t="n">
        <v>46510.49229</v>
      </c>
      <c r="J403" s="7" t="s">
        <v>319</v>
      </c>
    </row>
    <row r="404" customFormat="false" ht="14.25" hidden="false" customHeight="true" outlineLevel="0" collapsed="false">
      <c r="A404" s="10" t="n">
        <v>2023</v>
      </c>
      <c r="B404" s="10" t="s">
        <v>123</v>
      </c>
      <c r="C404" s="10" t="s">
        <v>510</v>
      </c>
      <c r="D404" s="11" t="n">
        <v>850576</v>
      </c>
      <c r="E404" s="11" t="n">
        <v>718923</v>
      </c>
      <c r="F404" s="12" t="n">
        <v>72846.66</v>
      </c>
      <c r="G404" s="12" t="n">
        <v>695952.38</v>
      </c>
      <c r="H404" s="12" t="n">
        <v>10.8</v>
      </c>
      <c r="I404" s="12" t="n">
        <v>46875.85314</v>
      </c>
      <c r="J404" s="10" t="s">
        <v>319</v>
      </c>
    </row>
    <row r="405" customFormat="false" ht="14.25" hidden="false" customHeight="true" outlineLevel="0" collapsed="false">
      <c r="A405" s="7" t="n">
        <v>2023</v>
      </c>
      <c r="B405" s="7" t="s">
        <v>123</v>
      </c>
      <c r="C405" s="7" t="s">
        <v>511</v>
      </c>
      <c r="D405" s="8" t="n">
        <v>1253413</v>
      </c>
      <c r="E405" s="8" t="n">
        <v>895732</v>
      </c>
      <c r="F405" s="9" t="n">
        <v>66691.43</v>
      </c>
      <c r="G405" s="9" t="n">
        <v>695952.38</v>
      </c>
      <c r="H405" s="9" t="n">
        <v>10.8</v>
      </c>
      <c r="I405" s="9" t="n">
        <v>43182.71514</v>
      </c>
      <c r="J405" s="7" t="s">
        <v>319</v>
      </c>
    </row>
    <row r="406" customFormat="false" ht="14.25" hidden="false" customHeight="true" outlineLevel="0" collapsed="false">
      <c r="A406" s="10" t="n">
        <v>2023</v>
      </c>
      <c r="B406" s="10" t="s">
        <v>123</v>
      </c>
      <c r="C406" s="10" t="s">
        <v>512</v>
      </c>
      <c r="D406" s="11" t="n">
        <v>976552</v>
      </c>
      <c r="E406" s="11" t="n">
        <v>506757</v>
      </c>
      <c r="F406" s="12" t="n">
        <v>66547.12</v>
      </c>
      <c r="G406" s="12" t="n">
        <v>695952.38</v>
      </c>
      <c r="H406" s="12" t="n">
        <v>10.8</v>
      </c>
      <c r="I406" s="12" t="n">
        <v>43096.12914</v>
      </c>
      <c r="J406" s="10" t="s">
        <v>319</v>
      </c>
    </row>
    <row r="407" customFormat="false" ht="14.25" hidden="false" customHeight="true" outlineLevel="0" collapsed="false">
      <c r="A407" s="7" t="n">
        <v>2023</v>
      </c>
      <c r="B407" s="7" t="s">
        <v>123</v>
      </c>
      <c r="C407" s="7" t="s">
        <v>513</v>
      </c>
      <c r="D407" s="8" t="n">
        <v>1235876</v>
      </c>
      <c r="E407" s="8" t="n">
        <v>743026</v>
      </c>
      <c r="F407" s="9" t="n">
        <v>62962.08</v>
      </c>
      <c r="G407" s="9" t="n">
        <v>695952.38</v>
      </c>
      <c r="H407" s="9" t="n">
        <v>10.8</v>
      </c>
      <c r="I407" s="9" t="n">
        <v>40945.10514</v>
      </c>
      <c r="J407" s="7" t="s">
        <v>319</v>
      </c>
    </row>
    <row r="408" customFormat="false" ht="14.25" hidden="false" customHeight="true" outlineLevel="0" collapsed="false">
      <c r="A408" s="10" t="n">
        <v>2023</v>
      </c>
      <c r="B408" s="10" t="s">
        <v>123</v>
      </c>
      <c r="C408" s="10" t="s">
        <v>514</v>
      </c>
      <c r="D408" s="11" t="n">
        <v>1137875</v>
      </c>
      <c r="E408" s="11" t="n">
        <v>843161</v>
      </c>
      <c r="F408" s="12" t="n">
        <v>61254.54</v>
      </c>
      <c r="G408" s="12" t="n">
        <v>695952.38</v>
      </c>
      <c r="H408" s="12" t="n">
        <v>10.8</v>
      </c>
      <c r="I408" s="12" t="n">
        <v>39920.58114</v>
      </c>
      <c r="J408" s="10" t="s">
        <v>319</v>
      </c>
    </row>
    <row r="409" customFormat="false" ht="14.25" hidden="false" customHeight="true" outlineLevel="0" collapsed="false">
      <c r="A409" s="7" t="n">
        <v>2023</v>
      </c>
      <c r="B409" s="7" t="s">
        <v>129</v>
      </c>
      <c r="C409" s="7" t="s">
        <v>515</v>
      </c>
      <c r="D409" s="8" t="n">
        <v>1687359</v>
      </c>
      <c r="E409" s="8" t="n">
        <v>1178252</v>
      </c>
      <c r="F409" s="9" t="n">
        <v>59203.74</v>
      </c>
      <c r="G409" s="9" t="n">
        <v>665750</v>
      </c>
      <c r="H409" s="9" t="n">
        <v>4.8</v>
      </c>
      <c r="I409" s="9" t="n">
        <v>37999.494</v>
      </c>
      <c r="J409" s="7" t="s">
        <v>319</v>
      </c>
    </row>
    <row r="410" customFormat="false" ht="14.25" hidden="false" customHeight="true" outlineLevel="0" collapsed="false">
      <c r="A410" s="10" t="n">
        <v>2023</v>
      </c>
      <c r="B410" s="10" t="s">
        <v>129</v>
      </c>
      <c r="C410" s="10" t="s">
        <v>516</v>
      </c>
      <c r="D410" s="11" t="n">
        <v>930510</v>
      </c>
      <c r="E410" s="11" t="n">
        <v>733091</v>
      </c>
      <c r="F410" s="12" t="n">
        <v>62570.02</v>
      </c>
      <c r="G410" s="12" t="n">
        <v>665750</v>
      </c>
      <c r="H410" s="12" t="n">
        <v>4.8</v>
      </c>
      <c r="I410" s="12" t="n">
        <v>40019.262</v>
      </c>
      <c r="J410" s="10" t="s">
        <v>319</v>
      </c>
    </row>
    <row r="411" customFormat="false" ht="14.25" hidden="false" customHeight="true" outlineLevel="0" collapsed="false">
      <c r="A411" s="7" t="n">
        <v>2023</v>
      </c>
      <c r="B411" s="7" t="s">
        <v>129</v>
      </c>
      <c r="C411" s="7" t="s">
        <v>517</v>
      </c>
      <c r="D411" s="8" t="n">
        <v>840484</v>
      </c>
      <c r="E411" s="8" t="n">
        <v>766973</v>
      </c>
      <c r="F411" s="9" t="n">
        <v>67163.12</v>
      </c>
      <c r="G411" s="9" t="n">
        <v>665750</v>
      </c>
      <c r="H411" s="9" t="n">
        <v>4.8</v>
      </c>
      <c r="I411" s="9" t="n">
        <v>42775.122</v>
      </c>
      <c r="J411" s="7" t="s">
        <v>319</v>
      </c>
    </row>
    <row r="412" customFormat="false" ht="14.25" hidden="false" customHeight="true" outlineLevel="0" collapsed="false">
      <c r="A412" s="10" t="n">
        <v>2023</v>
      </c>
      <c r="B412" s="10" t="s">
        <v>129</v>
      </c>
      <c r="C412" s="10" t="s">
        <v>518</v>
      </c>
      <c r="D412" s="11" t="n">
        <v>827180</v>
      </c>
      <c r="E412" s="11" t="n">
        <v>774031</v>
      </c>
      <c r="F412" s="12" t="n">
        <v>68568.39</v>
      </c>
      <c r="G412" s="12" t="n">
        <v>665750</v>
      </c>
      <c r="H412" s="12" t="n">
        <v>4.8</v>
      </c>
      <c r="I412" s="12" t="n">
        <v>43618.284</v>
      </c>
      <c r="J412" s="10" t="s">
        <v>319</v>
      </c>
    </row>
    <row r="413" customFormat="false" ht="14.25" hidden="false" customHeight="true" outlineLevel="0" collapsed="false">
      <c r="A413" s="7" t="n">
        <v>2023</v>
      </c>
      <c r="B413" s="7" t="s">
        <v>134</v>
      </c>
      <c r="C413" s="7" t="s">
        <v>519</v>
      </c>
      <c r="D413" s="8" t="n">
        <v>1013820</v>
      </c>
      <c r="E413" s="8" t="n">
        <v>819023</v>
      </c>
      <c r="F413" s="9" t="n">
        <v>63749.69</v>
      </c>
      <c r="G413" s="9" t="n">
        <v>658809.52</v>
      </c>
      <c r="H413" s="9" t="n">
        <v>2.1</v>
      </c>
      <c r="I413" s="9" t="n">
        <v>40436.24256</v>
      </c>
      <c r="J413" s="7" t="s">
        <v>319</v>
      </c>
    </row>
    <row r="414" customFormat="false" ht="14.25" hidden="false" customHeight="true" outlineLevel="0" collapsed="false">
      <c r="A414" s="10" t="n">
        <v>2023</v>
      </c>
      <c r="B414" s="10" t="s">
        <v>134</v>
      </c>
      <c r="C414" s="10" t="s">
        <v>520</v>
      </c>
      <c r="D414" s="11" t="n">
        <v>1244859</v>
      </c>
      <c r="E414" s="11" t="n">
        <v>1039957</v>
      </c>
      <c r="F414" s="12" t="n">
        <v>62531.91</v>
      </c>
      <c r="G414" s="12" t="n">
        <v>658809.52</v>
      </c>
      <c r="H414" s="12" t="n">
        <v>2.1</v>
      </c>
      <c r="I414" s="12" t="n">
        <v>39705.57456</v>
      </c>
      <c r="J414" s="10" t="s">
        <v>319</v>
      </c>
    </row>
    <row r="415" customFormat="false" ht="14.25" hidden="false" customHeight="true" outlineLevel="0" collapsed="false">
      <c r="A415" s="7" t="n">
        <v>2023</v>
      </c>
      <c r="B415" s="7" t="s">
        <v>134</v>
      </c>
      <c r="C415" s="7" t="s">
        <v>521</v>
      </c>
      <c r="D415" s="8" t="n">
        <v>803990</v>
      </c>
      <c r="E415" s="8" t="n">
        <v>580709</v>
      </c>
      <c r="F415" s="9" t="n">
        <v>61455.23</v>
      </c>
      <c r="G415" s="9" t="n">
        <v>658809.52</v>
      </c>
      <c r="H415" s="9" t="n">
        <v>2.1</v>
      </c>
      <c r="I415" s="9" t="n">
        <v>39059.56656</v>
      </c>
      <c r="J415" s="7" t="s">
        <v>319</v>
      </c>
    </row>
    <row r="416" customFormat="false" ht="14.25" hidden="false" customHeight="true" outlineLevel="0" collapsed="false">
      <c r="A416" s="10" t="n">
        <v>2023</v>
      </c>
      <c r="B416" s="10" t="s">
        <v>134</v>
      </c>
      <c r="C416" s="10" t="s">
        <v>522</v>
      </c>
      <c r="D416" s="11" t="n">
        <v>690347</v>
      </c>
      <c r="E416" s="11" t="n">
        <v>459085</v>
      </c>
      <c r="F416" s="12" t="n">
        <v>61022.09</v>
      </c>
      <c r="G416" s="12" t="n">
        <v>658809.52</v>
      </c>
      <c r="H416" s="12" t="n">
        <v>2.1</v>
      </c>
      <c r="I416" s="12" t="n">
        <v>38799.68256</v>
      </c>
      <c r="J416" s="10" t="s">
        <v>319</v>
      </c>
    </row>
    <row r="417" customFormat="false" ht="14.25" hidden="false" customHeight="true" outlineLevel="0" collapsed="false">
      <c r="A417" s="7" t="n">
        <v>2023</v>
      </c>
      <c r="B417" s="7" t="s">
        <v>134</v>
      </c>
      <c r="C417" s="7" t="s">
        <v>523</v>
      </c>
      <c r="D417" s="8" t="n">
        <v>939032</v>
      </c>
      <c r="E417" s="8" t="n">
        <v>608053</v>
      </c>
      <c r="F417" s="9" t="n">
        <v>58906.84</v>
      </c>
      <c r="G417" s="9" t="n">
        <v>658809.52</v>
      </c>
      <c r="H417" s="9" t="n">
        <v>2.1</v>
      </c>
      <c r="I417" s="9" t="n">
        <v>37530.53256</v>
      </c>
      <c r="J417" s="7" t="s">
        <v>319</v>
      </c>
    </row>
    <row r="418" customFormat="false" ht="14.25" hidden="false" customHeight="true" outlineLevel="0" collapsed="false">
      <c r="A418" s="10" t="n">
        <v>2023</v>
      </c>
      <c r="B418" s="10" t="s">
        <v>140</v>
      </c>
      <c r="C418" s="10" t="s">
        <v>524</v>
      </c>
      <c r="D418" s="11" t="n">
        <v>1297915</v>
      </c>
      <c r="E418" s="11" t="n">
        <v>800261</v>
      </c>
      <c r="F418" s="12" t="n">
        <v>59320.62</v>
      </c>
      <c r="G418" s="12" t="n">
        <v>658157.89</v>
      </c>
      <c r="H418" s="12" t="n">
        <v>1.3</v>
      </c>
      <c r="I418" s="12" t="n">
        <v>37696.84567</v>
      </c>
      <c r="J418" s="10" t="s">
        <v>319</v>
      </c>
    </row>
    <row r="419" customFormat="false" ht="14.25" hidden="false" customHeight="true" outlineLevel="0" collapsed="false">
      <c r="A419" s="7" t="n">
        <v>2023</v>
      </c>
      <c r="B419" s="7" t="s">
        <v>140</v>
      </c>
      <c r="C419" s="7" t="s">
        <v>525</v>
      </c>
      <c r="D419" s="8" t="n">
        <v>862989</v>
      </c>
      <c r="E419" s="8" t="n">
        <v>742070</v>
      </c>
      <c r="F419" s="9" t="n">
        <v>60985.19</v>
      </c>
      <c r="G419" s="9" t="n">
        <v>658157.89</v>
      </c>
      <c r="H419" s="9" t="n">
        <v>1.3</v>
      </c>
      <c r="I419" s="9" t="n">
        <v>38695.58767</v>
      </c>
      <c r="J419" s="7" t="s">
        <v>319</v>
      </c>
    </row>
    <row r="420" customFormat="false" ht="14.25" hidden="false" customHeight="true" outlineLevel="0" collapsed="false">
      <c r="A420" s="10" t="n">
        <v>2023</v>
      </c>
      <c r="B420" s="10" t="s">
        <v>140</v>
      </c>
      <c r="C420" s="10" t="s">
        <v>526</v>
      </c>
      <c r="D420" s="11" t="n">
        <v>567258</v>
      </c>
      <c r="E420" s="11" t="n">
        <v>360087</v>
      </c>
      <c r="F420" s="12" t="n">
        <v>64231.01</v>
      </c>
      <c r="G420" s="12" t="n">
        <v>658157.89</v>
      </c>
      <c r="H420" s="12" t="n">
        <v>1.3</v>
      </c>
      <c r="I420" s="12" t="n">
        <v>40643.07967</v>
      </c>
      <c r="J420" s="10" t="s">
        <v>319</v>
      </c>
    </row>
    <row r="421" customFormat="false" ht="14.25" hidden="false" customHeight="true" outlineLevel="0" collapsed="false">
      <c r="A421" s="7" t="n">
        <v>2023</v>
      </c>
      <c r="B421" s="7" t="s">
        <v>140</v>
      </c>
      <c r="C421" s="7" t="s">
        <v>527</v>
      </c>
      <c r="D421" s="8" t="n">
        <v>653975</v>
      </c>
      <c r="E421" s="8" t="n">
        <v>538078</v>
      </c>
      <c r="F421" s="9" t="n">
        <v>63790</v>
      </c>
      <c r="G421" s="9" t="n">
        <v>658157.89</v>
      </c>
      <c r="H421" s="9" t="n">
        <v>1.3</v>
      </c>
      <c r="I421" s="9" t="n">
        <v>40378.47367</v>
      </c>
      <c r="J421" s="7" t="s">
        <v>319</v>
      </c>
    </row>
    <row r="422" customFormat="false" ht="14.25" hidden="false" customHeight="true" outlineLevel="0" collapsed="false">
      <c r="A422" s="10" t="n">
        <v>2023</v>
      </c>
      <c r="B422" s="10" t="s">
        <v>145</v>
      </c>
      <c r="C422" s="10" t="s">
        <v>528</v>
      </c>
      <c r="D422" s="11" t="n">
        <v>871159</v>
      </c>
      <c r="E422" s="11" t="n">
        <v>624610</v>
      </c>
      <c r="F422" s="12" t="n">
        <v>62237.7</v>
      </c>
      <c r="G422" s="12" t="n">
        <v>648295.45</v>
      </c>
      <c r="H422" s="12" t="n">
        <v>1.5</v>
      </c>
      <c r="I422" s="12" t="n">
        <v>39437.50635</v>
      </c>
      <c r="J422" s="10" t="s">
        <v>319</v>
      </c>
    </row>
    <row r="423" customFormat="false" ht="14.25" hidden="false" customHeight="true" outlineLevel="0" collapsed="false">
      <c r="A423" s="7" t="n">
        <v>2023</v>
      </c>
      <c r="B423" s="7" t="s">
        <v>145</v>
      </c>
      <c r="C423" s="7" t="s">
        <v>529</v>
      </c>
      <c r="D423" s="8" t="n">
        <v>622297</v>
      </c>
      <c r="E423" s="8" t="n">
        <v>459294</v>
      </c>
      <c r="F423" s="9" t="n">
        <v>67125.9</v>
      </c>
      <c r="G423" s="9" t="n">
        <v>648295.45</v>
      </c>
      <c r="H423" s="9" t="n">
        <v>1.5</v>
      </c>
      <c r="I423" s="9" t="n">
        <v>42370.42635</v>
      </c>
      <c r="J423" s="7" t="s">
        <v>319</v>
      </c>
    </row>
    <row r="424" customFormat="false" ht="14.25" hidden="false" customHeight="true" outlineLevel="0" collapsed="false">
      <c r="A424" s="10" t="n">
        <v>2023</v>
      </c>
      <c r="B424" s="10" t="s">
        <v>145</v>
      </c>
      <c r="C424" s="10" t="s">
        <v>530</v>
      </c>
      <c r="D424" s="11" t="n">
        <v>469293</v>
      </c>
      <c r="E424" s="11" t="n">
        <v>320715</v>
      </c>
      <c r="F424" s="12" t="n">
        <v>70057.32</v>
      </c>
      <c r="G424" s="12" t="n">
        <v>648295.45</v>
      </c>
      <c r="H424" s="12" t="n">
        <v>1.5</v>
      </c>
      <c r="I424" s="12" t="n">
        <v>44129.27835</v>
      </c>
      <c r="J424" s="10" t="s">
        <v>319</v>
      </c>
    </row>
    <row r="425" customFormat="false" ht="14.25" hidden="false" customHeight="true" outlineLevel="0" collapsed="false">
      <c r="A425" s="7" t="n">
        <v>2023</v>
      </c>
      <c r="B425" s="7" t="s">
        <v>145</v>
      </c>
      <c r="C425" s="7" t="s">
        <v>531</v>
      </c>
      <c r="D425" s="8" t="n">
        <v>477592</v>
      </c>
      <c r="E425" s="8" t="n">
        <v>334003</v>
      </c>
      <c r="F425" s="9" t="n">
        <v>70778.82</v>
      </c>
      <c r="G425" s="9" t="n">
        <v>648295.45</v>
      </c>
      <c r="H425" s="9" t="n">
        <v>1.5</v>
      </c>
      <c r="I425" s="9" t="n">
        <v>44562.17835</v>
      </c>
      <c r="J425" s="7" t="s">
        <v>319</v>
      </c>
    </row>
    <row r="426" customFormat="false" ht="14.25" hidden="false" customHeight="true" outlineLevel="0" collapsed="false">
      <c r="A426" s="10" t="n">
        <v>2023</v>
      </c>
      <c r="B426" s="10" t="s">
        <v>150</v>
      </c>
      <c r="C426" s="10" t="s">
        <v>532</v>
      </c>
      <c r="D426" s="11" t="n">
        <v>527394</v>
      </c>
      <c r="E426" s="11" t="n">
        <v>456564</v>
      </c>
      <c r="F426" s="12" t="n">
        <v>74208.41</v>
      </c>
      <c r="G426" s="12" t="n">
        <v>652272.73</v>
      </c>
      <c r="H426" s="12" t="n">
        <v>3.4</v>
      </c>
      <c r="I426" s="12" t="n">
        <v>46821.86419</v>
      </c>
      <c r="J426" s="10" t="s">
        <v>319</v>
      </c>
    </row>
    <row r="427" customFormat="false" ht="14.25" hidden="false" customHeight="true" outlineLevel="0" collapsed="false">
      <c r="A427" s="7" t="n">
        <v>2023</v>
      </c>
      <c r="B427" s="7" t="s">
        <v>150</v>
      </c>
      <c r="C427" s="7" t="s">
        <v>533</v>
      </c>
      <c r="D427" s="8" t="n">
        <v>594106</v>
      </c>
      <c r="E427" s="8" t="n">
        <v>462975</v>
      </c>
      <c r="F427" s="9" t="n">
        <v>77201.41</v>
      </c>
      <c r="G427" s="9" t="n">
        <v>652272.73</v>
      </c>
      <c r="H427" s="9" t="n">
        <v>3.4</v>
      </c>
      <c r="I427" s="9" t="n">
        <v>48617.66419</v>
      </c>
      <c r="J427" s="7" t="s">
        <v>319</v>
      </c>
    </row>
    <row r="428" customFormat="false" ht="14.25" hidden="false" customHeight="true" outlineLevel="0" collapsed="false">
      <c r="A428" s="10" t="n">
        <v>2023</v>
      </c>
      <c r="B428" s="10" t="s">
        <v>150</v>
      </c>
      <c r="C428" s="10" t="s">
        <v>534</v>
      </c>
      <c r="D428" s="11" t="n">
        <v>404267</v>
      </c>
      <c r="E428" s="11" t="n">
        <v>361584</v>
      </c>
      <c r="F428" s="12" t="n">
        <v>78136.83</v>
      </c>
      <c r="G428" s="12" t="n">
        <v>652272.73</v>
      </c>
      <c r="H428" s="12" t="n">
        <v>3.4</v>
      </c>
      <c r="I428" s="12" t="n">
        <v>49178.91619</v>
      </c>
      <c r="J428" s="10" t="s">
        <v>319</v>
      </c>
    </row>
    <row r="429" customFormat="false" ht="14.25" hidden="false" customHeight="true" outlineLevel="0" collapsed="false">
      <c r="A429" s="7" t="n">
        <v>2023</v>
      </c>
      <c r="B429" s="7" t="s">
        <v>150</v>
      </c>
      <c r="C429" s="7" t="s">
        <v>535</v>
      </c>
      <c r="D429" s="8" t="n">
        <v>285835</v>
      </c>
      <c r="E429" s="8" t="n">
        <v>248132</v>
      </c>
      <c r="F429" s="9" t="n">
        <v>82860.9</v>
      </c>
      <c r="G429" s="9" t="n">
        <v>652272.73</v>
      </c>
      <c r="H429" s="9" t="n">
        <v>3.4</v>
      </c>
      <c r="I429" s="9" t="n">
        <v>52013.35819</v>
      </c>
      <c r="J429" s="7" t="s">
        <v>319</v>
      </c>
    </row>
    <row r="430" customFormat="false" ht="14.25" hidden="false" customHeight="true" outlineLevel="0" collapsed="false">
      <c r="A430" s="10" t="n">
        <v>2023</v>
      </c>
      <c r="B430" s="10" t="s">
        <v>150</v>
      </c>
      <c r="C430" s="10" t="s">
        <v>536</v>
      </c>
      <c r="D430" s="11" t="n">
        <v>522497</v>
      </c>
      <c r="E430" s="11" t="n">
        <v>377216</v>
      </c>
      <c r="F430" s="12" t="n">
        <v>77735.04</v>
      </c>
      <c r="G430" s="12" t="n">
        <v>652272.73</v>
      </c>
      <c r="H430" s="12" t="n">
        <v>3.4</v>
      </c>
      <c r="I430" s="12" t="n">
        <v>48937.84219</v>
      </c>
      <c r="J430" s="10" t="s">
        <v>319</v>
      </c>
    </row>
    <row r="431" customFormat="false" ht="14.25" hidden="false" customHeight="true" outlineLevel="0" collapsed="false">
      <c r="A431" s="7" t="n">
        <v>2023</v>
      </c>
      <c r="B431" s="7" t="s">
        <v>156</v>
      </c>
      <c r="C431" s="7" t="s">
        <v>537</v>
      </c>
      <c r="D431" s="8" t="n">
        <v>669787</v>
      </c>
      <c r="E431" s="8" t="n">
        <v>485688</v>
      </c>
      <c r="F431" s="9" t="n">
        <v>67956.43</v>
      </c>
      <c r="G431" s="9" t="n">
        <v>653684.21</v>
      </c>
      <c r="H431" s="9" t="n">
        <v>4</v>
      </c>
      <c r="I431" s="9" t="n">
        <v>43134.91063</v>
      </c>
      <c r="J431" s="7" t="s">
        <v>319</v>
      </c>
    </row>
    <row r="432" customFormat="false" ht="14.25" hidden="false" customHeight="true" outlineLevel="0" collapsed="false">
      <c r="A432" s="10" t="n">
        <v>2023</v>
      </c>
      <c r="B432" s="10" t="s">
        <v>156</v>
      </c>
      <c r="C432" s="10" t="s">
        <v>538</v>
      </c>
      <c r="D432" s="11" t="n">
        <v>564767</v>
      </c>
      <c r="E432" s="11" t="n">
        <v>522478</v>
      </c>
      <c r="F432" s="12" t="n">
        <v>67966.95</v>
      </c>
      <c r="G432" s="12" t="n">
        <v>653684.21</v>
      </c>
      <c r="H432" s="12" t="n">
        <v>4</v>
      </c>
      <c r="I432" s="12" t="n">
        <v>43141.22263</v>
      </c>
      <c r="J432" s="10" t="s">
        <v>319</v>
      </c>
    </row>
    <row r="433" customFormat="false" ht="14.25" hidden="false" customHeight="true" outlineLevel="0" collapsed="false">
      <c r="A433" s="7" t="n">
        <v>2023</v>
      </c>
      <c r="B433" s="7" t="s">
        <v>156</v>
      </c>
      <c r="C433" s="7" t="s">
        <v>539</v>
      </c>
      <c r="D433" s="8" t="n">
        <v>478896</v>
      </c>
      <c r="E433" s="8" t="n">
        <v>341240</v>
      </c>
      <c r="F433" s="9" t="n">
        <v>75879.04</v>
      </c>
      <c r="G433" s="9" t="n">
        <v>653684.21</v>
      </c>
      <c r="H433" s="9" t="n">
        <v>4</v>
      </c>
      <c r="I433" s="9" t="n">
        <v>47888.47663</v>
      </c>
      <c r="J433" s="7" t="s">
        <v>319</v>
      </c>
    </row>
    <row r="434" customFormat="false" ht="14.25" hidden="false" customHeight="true" outlineLevel="0" collapsed="false">
      <c r="A434" s="10" t="n">
        <v>2024</v>
      </c>
      <c r="B434" s="10" t="s">
        <v>96</v>
      </c>
      <c r="C434" s="10" t="s">
        <v>540</v>
      </c>
      <c r="D434" s="11" t="n">
        <v>789094</v>
      </c>
      <c r="E434" s="11" t="n">
        <v>704931</v>
      </c>
      <c r="F434" s="12" t="n">
        <v>70067.49</v>
      </c>
      <c r="G434" s="12" t="n">
        <v>702500</v>
      </c>
      <c r="H434" s="12" t="n">
        <v>4</v>
      </c>
      <c r="I434" s="12" t="n">
        <v>44547.994</v>
      </c>
      <c r="J434" s="10" t="s">
        <v>319</v>
      </c>
    </row>
    <row r="435" customFormat="false" ht="14.25" hidden="false" customHeight="true" outlineLevel="0" collapsed="false">
      <c r="A435" s="7" t="n">
        <v>2024</v>
      </c>
      <c r="B435" s="7" t="s">
        <v>96</v>
      </c>
      <c r="C435" s="7" t="s">
        <v>541</v>
      </c>
      <c r="D435" s="8" t="n">
        <v>684847</v>
      </c>
      <c r="E435" s="8" t="n">
        <v>567968</v>
      </c>
      <c r="F435" s="9" t="n">
        <v>64958.37</v>
      </c>
      <c r="G435" s="9" t="n">
        <v>702500</v>
      </c>
      <c r="H435" s="9" t="n">
        <v>4</v>
      </c>
      <c r="I435" s="9" t="n">
        <v>41482.522</v>
      </c>
      <c r="J435" s="7" t="s">
        <v>319</v>
      </c>
    </row>
    <row r="436" customFormat="false" ht="14.25" hidden="false" customHeight="true" outlineLevel="0" collapsed="false">
      <c r="A436" s="10" t="n">
        <v>2024</v>
      </c>
      <c r="B436" s="10" t="s">
        <v>96</v>
      </c>
      <c r="C436" s="10" t="s">
        <v>542</v>
      </c>
      <c r="D436" s="11" t="n">
        <v>381424</v>
      </c>
      <c r="E436" s="11" t="n">
        <v>174947</v>
      </c>
      <c r="F436" s="12" t="n">
        <v>66198.81</v>
      </c>
      <c r="G436" s="12" t="n">
        <v>702500</v>
      </c>
      <c r="H436" s="12" t="n">
        <v>4</v>
      </c>
      <c r="I436" s="12" t="n">
        <v>42226.786</v>
      </c>
      <c r="J436" s="10" t="s">
        <v>319</v>
      </c>
    </row>
    <row r="437" customFormat="false" ht="14.25" hidden="false" customHeight="true" outlineLevel="0" collapsed="false">
      <c r="A437" s="7" t="n">
        <v>2024</v>
      </c>
      <c r="B437" s="7" t="s">
        <v>96</v>
      </c>
      <c r="C437" s="7" t="s">
        <v>543</v>
      </c>
      <c r="D437" s="8" t="n">
        <v>416764</v>
      </c>
      <c r="E437" s="8" t="n">
        <v>358335</v>
      </c>
      <c r="F437" s="9" t="n">
        <v>64377.65</v>
      </c>
      <c r="G437" s="9" t="n">
        <v>702500</v>
      </c>
      <c r="H437" s="9" t="n">
        <v>4</v>
      </c>
      <c r="I437" s="9" t="n">
        <v>41134.09</v>
      </c>
      <c r="J437" s="7" t="s">
        <v>319</v>
      </c>
    </row>
    <row r="438" customFormat="false" ht="14.25" hidden="false" customHeight="true" outlineLevel="0" collapsed="false">
      <c r="A438" s="10" t="n">
        <v>2024</v>
      </c>
      <c r="B438" s="10" t="s">
        <v>102</v>
      </c>
      <c r="C438" s="10" t="s">
        <v>544</v>
      </c>
      <c r="D438" s="11" t="n">
        <v>448746</v>
      </c>
      <c r="E438" s="11" t="n">
        <v>448746</v>
      </c>
      <c r="F438" s="12" t="n">
        <v>68634.37</v>
      </c>
      <c r="G438" s="12" t="n">
        <v>735750</v>
      </c>
      <c r="H438" s="12" t="n">
        <v>3.5</v>
      </c>
      <c r="I438" s="12" t="n">
        <v>43737.872</v>
      </c>
      <c r="J438" s="10" t="s">
        <v>319</v>
      </c>
    </row>
    <row r="439" customFormat="false" ht="14.25" hidden="false" customHeight="true" outlineLevel="0" collapsed="false">
      <c r="A439" s="7" t="n">
        <v>2024</v>
      </c>
      <c r="B439" s="7" t="s">
        <v>102</v>
      </c>
      <c r="C439" s="7" t="s">
        <v>545</v>
      </c>
      <c r="D439" s="8" t="n">
        <v>698941</v>
      </c>
      <c r="E439" s="8" t="n">
        <v>612643</v>
      </c>
      <c r="F439" s="9" t="n">
        <v>69751.43</v>
      </c>
      <c r="G439" s="9" t="n">
        <v>735750</v>
      </c>
      <c r="H439" s="9" t="n">
        <v>3.5</v>
      </c>
      <c r="I439" s="9" t="n">
        <v>44408.108</v>
      </c>
      <c r="J439" s="7" t="s">
        <v>319</v>
      </c>
    </row>
    <row r="440" customFormat="false" ht="14.25" hidden="false" customHeight="true" outlineLevel="0" collapsed="false">
      <c r="A440" s="10" t="n">
        <v>2024</v>
      </c>
      <c r="B440" s="10" t="s">
        <v>102</v>
      </c>
      <c r="C440" s="10" t="s">
        <v>546</v>
      </c>
      <c r="D440" s="11" t="n">
        <v>390327</v>
      </c>
      <c r="E440" s="11" t="n">
        <v>305259</v>
      </c>
      <c r="F440" s="12" t="n">
        <v>64751.88</v>
      </c>
      <c r="G440" s="12" t="n">
        <v>735750</v>
      </c>
      <c r="H440" s="12" t="n">
        <v>3.5</v>
      </c>
      <c r="I440" s="12" t="n">
        <v>41408.378</v>
      </c>
      <c r="J440" s="10" t="s">
        <v>319</v>
      </c>
    </row>
    <row r="441" customFormat="false" ht="14.25" hidden="false" customHeight="true" outlineLevel="0" collapsed="false">
      <c r="A441" s="7" t="n">
        <v>2024</v>
      </c>
      <c r="B441" s="7" t="s">
        <v>102</v>
      </c>
      <c r="C441" s="7" t="s">
        <v>547</v>
      </c>
      <c r="D441" s="8" t="n">
        <v>411514</v>
      </c>
      <c r="E441" s="8" t="n">
        <v>313334</v>
      </c>
      <c r="F441" s="9" t="n">
        <v>70593.37</v>
      </c>
      <c r="G441" s="9" t="n">
        <v>735750</v>
      </c>
      <c r="H441" s="9" t="n">
        <v>3.5</v>
      </c>
      <c r="I441" s="9" t="n">
        <v>44913.272</v>
      </c>
      <c r="J441" s="7" t="s">
        <v>319</v>
      </c>
    </row>
    <row r="442" customFormat="false" ht="14.25" hidden="false" customHeight="true" outlineLevel="0" collapsed="false">
      <c r="A442" s="10" t="n">
        <v>2024</v>
      </c>
      <c r="B442" s="10" t="s">
        <v>102</v>
      </c>
      <c r="C442" s="10" t="s">
        <v>548</v>
      </c>
      <c r="D442" s="11" t="n">
        <v>411631</v>
      </c>
      <c r="E442" s="11" t="n">
        <v>325591</v>
      </c>
      <c r="F442" s="12" t="n">
        <v>73962.7</v>
      </c>
      <c r="G442" s="12" t="n">
        <v>735750</v>
      </c>
      <c r="H442" s="12" t="n">
        <v>3.5</v>
      </c>
      <c r="I442" s="12" t="n">
        <v>46934.87</v>
      </c>
      <c r="J442" s="10" t="s">
        <v>319</v>
      </c>
    </row>
    <row r="443" customFormat="false" ht="14.25" hidden="false" customHeight="true" outlineLevel="0" collapsed="false">
      <c r="A443" s="7" t="n">
        <v>2024</v>
      </c>
      <c r="B443" s="7" t="s">
        <v>107</v>
      </c>
      <c r="C443" s="7" t="s">
        <v>549</v>
      </c>
      <c r="D443" s="8" t="n">
        <v>842503</v>
      </c>
      <c r="E443" s="8" t="n">
        <v>560210</v>
      </c>
      <c r="F443" s="9" t="n">
        <v>72030.38</v>
      </c>
      <c r="G443" s="9" t="n">
        <v>736315.79</v>
      </c>
      <c r="H443" s="9" t="n">
        <v>3.1</v>
      </c>
      <c r="I443" s="9" t="n">
        <v>45737.17537</v>
      </c>
      <c r="J443" s="7" t="s">
        <v>319</v>
      </c>
    </row>
    <row r="444" customFormat="false" ht="14.25" hidden="false" customHeight="true" outlineLevel="0" collapsed="false">
      <c r="A444" s="10" t="n">
        <v>2024</v>
      </c>
      <c r="B444" s="10" t="s">
        <v>107</v>
      </c>
      <c r="C444" s="10" t="s">
        <v>550</v>
      </c>
      <c r="D444" s="11" t="n">
        <v>688563</v>
      </c>
      <c r="E444" s="11" t="n">
        <v>551976</v>
      </c>
      <c r="F444" s="12" t="n">
        <v>68678.51</v>
      </c>
      <c r="G444" s="12" t="n">
        <v>736315.79</v>
      </c>
      <c r="H444" s="12" t="n">
        <v>3.1</v>
      </c>
      <c r="I444" s="12" t="n">
        <v>43726.05337</v>
      </c>
      <c r="J444" s="10" t="s">
        <v>319</v>
      </c>
    </row>
    <row r="445" customFormat="false" ht="14.25" hidden="false" customHeight="true" outlineLevel="0" collapsed="false">
      <c r="A445" s="7" t="n">
        <v>2024</v>
      </c>
      <c r="B445" s="7" t="s">
        <v>107</v>
      </c>
      <c r="C445" s="7" t="s">
        <v>551</v>
      </c>
      <c r="D445" s="8" t="n">
        <v>555561</v>
      </c>
      <c r="E445" s="8" t="n">
        <v>334246</v>
      </c>
      <c r="F445" s="9" t="n">
        <v>69225.54</v>
      </c>
      <c r="G445" s="9" t="n">
        <v>736315.79</v>
      </c>
      <c r="H445" s="9" t="n">
        <v>3.1</v>
      </c>
      <c r="I445" s="9" t="n">
        <v>44054.27137</v>
      </c>
      <c r="J445" s="7" t="s">
        <v>319</v>
      </c>
    </row>
    <row r="446" customFormat="false" ht="14.25" hidden="false" customHeight="true" outlineLevel="0" collapsed="false">
      <c r="A446" s="10" t="n">
        <v>2024</v>
      </c>
      <c r="B446" s="10" t="s">
        <v>107</v>
      </c>
      <c r="C446" s="10" t="s">
        <v>552</v>
      </c>
      <c r="D446" s="11" t="n">
        <v>645891</v>
      </c>
      <c r="E446" s="11" t="n">
        <v>364798</v>
      </c>
      <c r="F446" s="12" t="n">
        <v>70405.94</v>
      </c>
      <c r="G446" s="12" t="n">
        <v>736315.79</v>
      </c>
      <c r="H446" s="12" t="n">
        <v>3.1</v>
      </c>
      <c r="I446" s="12" t="n">
        <v>44762.51137</v>
      </c>
      <c r="J446" s="10" t="s">
        <v>319</v>
      </c>
    </row>
    <row r="447" customFormat="false" ht="14.25" hidden="false" customHeight="true" outlineLevel="0" collapsed="false">
      <c r="A447" s="7" t="n">
        <v>2024</v>
      </c>
      <c r="B447" s="7" t="s">
        <v>113</v>
      </c>
      <c r="C447" s="7" t="s">
        <v>553</v>
      </c>
      <c r="D447" s="8" t="n">
        <v>1381693</v>
      </c>
      <c r="E447" s="8" t="n">
        <v>899483</v>
      </c>
      <c r="F447" s="9" t="n">
        <v>65221.38</v>
      </c>
      <c r="G447" s="9" t="n">
        <v>736562.5</v>
      </c>
      <c r="H447" s="9" t="n">
        <v>1.5</v>
      </c>
      <c r="I447" s="9" t="n">
        <v>41492.5155</v>
      </c>
      <c r="J447" s="7" t="s">
        <v>319</v>
      </c>
    </row>
    <row r="448" customFormat="false" ht="14.25" hidden="false" customHeight="true" outlineLevel="0" collapsed="false">
      <c r="A448" s="10" t="n">
        <v>2024</v>
      </c>
      <c r="B448" s="10" t="s">
        <v>113</v>
      </c>
      <c r="C448" s="10" t="s">
        <v>554</v>
      </c>
      <c r="D448" s="11" t="n">
        <v>1136414</v>
      </c>
      <c r="E448" s="11" t="n">
        <v>516490</v>
      </c>
      <c r="F448" s="12" t="n">
        <v>64094.03</v>
      </c>
      <c r="G448" s="12" t="n">
        <v>736562.5</v>
      </c>
      <c r="H448" s="12" t="n">
        <v>1.5</v>
      </c>
      <c r="I448" s="12" t="n">
        <v>40816.1055</v>
      </c>
      <c r="J448" s="10" t="s">
        <v>319</v>
      </c>
    </row>
    <row r="449" customFormat="false" ht="14.25" hidden="false" customHeight="true" outlineLevel="0" collapsed="false">
      <c r="A449" s="7" t="n">
        <v>2024</v>
      </c>
      <c r="B449" s="7" t="s">
        <v>113</v>
      </c>
      <c r="C449" s="7" t="s">
        <v>555</v>
      </c>
      <c r="D449" s="8" t="n">
        <v>811217</v>
      </c>
      <c r="E449" s="8" t="n">
        <v>360531</v>
      </c>
      <c r="F449" s="9" t="n">
        <v>63231.98</v>
      </c>
      <c r="G449" s="9" t="n">
        <v>736562.5</v>
      </c>
      <c r="H449" s="9" t="n">
        <v>1.5</v>
      </c>
      <c r="I449" s="9" t="n">
        <v>40298.8755</v>
      </c>
      <c r="J449" s="7" t="s">
        <v>319</v>
      </c>
    </row>
    <row r="450" customFormat="false" ht="14.25" hidden="false" customHeight="true" outlineLevel="0" collapsed="false">
      <c r="A450" s="10" t="n">
        <v>2024</v>
      </c>
      <c r="B450" s="10" t="s">
        <v>118</v>
      </c>
      <c r="C450" s="10" t="s">
        <v>556</v>
      </c>
      <c r="D450" s="11" t="n">
        <v>873957</v>
      </c>
      <c r="E450" s="11" t="n">
        <v>559639</v>
      </c>
      <c r="F450" s="12" t="n">
        <v>62948.59</v>
      </c>
      <c r="G450" s="12" t="n">
        <v>742750</v>
      </c>
      <c r="H450" s="12" t="n">
        <v>0.9</v>
      </c>
      <c r="I450" s="12" t="n">
        <v>40087.404</v>
      </c>
      <c r="J450" s="10" t="s">
        <v>319</v>
      </c>
    </row>
    <row r="451" customFormat="false" ht="14.25" hidden="false" customHeight="true" outlineLevel="0" collapsed="false">
      <c r="A451" s="7" t="n">
        <v>2024</v>
      </c>
      <c r="B451" s="7" t="s">
        <v>118</v>
      </c>
      <c r="C451" s="7" t="s">
        <v>557</v>
      </c>
      <c r="D451" s="8" t="n">
        <v>1326220</v>
      </c>
      <c r="E451" s="8" t="n">
        <v>685218</v>
      </c>
      <c r="F451" s="9" t="n">
        <v>62998.98</v>
      </c>
      <c r="G451" s="9" t="n">
        <v>742750</v>
      </c>
      <c r="H451" s="9" t="n">
        <v>0.9</v>
      </c>
      <c r="I451" s="9" t="n">
        <v>40117.638</v>
      </c>
      <c r="J451" s="7" t="s">
        <v>319</v>
      </c>
    </row>
    <row r="452" customFormat="false" ht="14.25" hidden="false" customHeight="true" outlineLevel="0" collapsed="false">
      <c r="A452" s="10" t="n">
        <v>2024</v>
      </c>
      <c r="B452" s="10" t="s">
        <v>118</v>
      </c>
      <c r="C452" s="10" t="s">
        <v>558</v>
      </c>
      <c r="D452" s="11" t="n">
        <v>876993</v>
      </c>
      <c r="E452" s="11" t="n">
        <v>698103</v>
      </c>
      <c r="F452" s="12" t="n">
        <v>64345.69</v>
      </c>
      <c r="G452" s="12" t="n">
        <v>742750</v>
      </c>
      <c r="H452" s="12" t="n">
        <v>0.9</v>
      </c>
      <c r="I452" s="12" t="n">
        <v>40925.664</v>
      </c>
      <c r="J452" s="10" t="s">
        <v>319</v>
      </c>
    </row>
    <row r="453" customFormat="false" ht="14.25" hidden="false" customHeight="true" outlineLevel="0" collapsed="false">
      <c r="A453" s="7" t="n">
        <v>2024</v>
      </c>
      <c r="B453" s="7" t="s">
        <v>118</v>
      </c>
      <c r="C453" s="7" t="s">
        <v>559</v>
      </c>
      <c r="D453" s="8" t="n">
        <v>392955</v>
      </c>
      <c r="E453" s="8" t="n">
        <v>306490</v>
      </c>
      <c r="F453" s="9" t="n">
        <v>71081.78</v>
      </c>
      <c r="G453" s="9" t="n">
        <v>742750</v>
      </c>
      <c r="H453" s="9" t="n">
        <v>0.9</v>
      </c>
      <c r="I453" s="9" t="n">
        <v>44967.318</v>
      </c>
      <c r="J453" s="7" t="s">
        <v>319</v>
      </c>
    </row>
    <row r="454" customFormat="false" ht="14.25" hidden="false" customHeight="true" outlineLevel="0" collapsed="false">
      <c r="A454" s="10" t="n">
        <v>2024</v>
      </c>
      <c r="B454" s="10" t="s">
        <v>118</v>
      </c>
      <c r="C454" s="10" t="s">
        <v>560</v>
      </c>
      <c r="D454" s="11" t="n">
        <v>316756</v>
      </c>
      <c r="E454" s="11" t="n">
        <v>248939</v>
      </c>
      <c r="F454" s="12" t="n">
        <v>75784.05</v>
      </c>
      <c r="G454" s="12" t="n">
        <v>742750</v>
      </c>
      <c r="H454" s="12" t="n">
        <v>0.9</v>
      </c>
      <c r="I454" s="12" t="n">
        <v>47788.68</v>
      </c>
      <c r="J454" s="10" t="s">
        <v>319</v>
      </c>
    </row>
    <row r="455" customFormat="false" ht="14.25" hidden="false" customHeight="true" outlineLevel="0" collapsed="false">
      <c r="A455" s="7" t="n">
        <v>2024</v>
      </c>
      <c r="B455" s="7" t="s">
        <v>123</v>
      </c>
      <c r="C455" s="7" t="s">
        <v>561</v>
      </c>
      <c r="D455" s="8" t="n">
        <v>879016</v>
      </c>
      <c r="E455" s="8" t="n">
        <v>705561</v>
      </c>
      <c r="F455" s="9" t="n">
        <v>76161.92</v>
      </c>
      <c r="G455" s="9" t="n">
        <v>757352.94</v>
      </c>
      <c r="H455" s="9" t="n">
        <v>1.7</v>
      </c>
      <c r="I455" s="9" t="n">
        <v>48139.21082</v>
      </c>
      <c r="J455" s="7" t="s">
        <v>319</v>
      </c>
    </row>
    <row r="456" customFormat="false" ht="14.25" hidden="false" customHeight="true" outlineLevel="0" collapsed="false">
      <c r="A456" s="10" t="n">
        <v>2024</v>
      </c>
      <c r="B456" s="10" t="s">
        <v>123</v>
      </c>
      <c r="C456" s="10" t="s">
        <v>562</v>
      </c>
      <c r="D456" s="11" t="n">
        <v>844787</v>
      </c>
      <c r="E456" s="11" t="n">
        <v>732443</v>
      </c>
      <c r="F456" s="12" t="n">
        <v>77314.47</v>
      </c>
      <c r="G456" s="12" t="n">
        <v>757352.94</v>
      </c>
      <c r="H456" s="12" t="n">
        <v>1.7</v>
      </c>
      <c r="I456" s="12" t="n">
        <v>48830.74082</v>
      </c>
      <c r="J456" s="10" t="s">
        <v>319</v>
      </c>
    </row>
    <row r="457" customFormat="false" ht="14.25" hidden="false" customHeight="true" outlineLevel="0" collapsed="false">
      <c r="A457" s="7" t="n">
        <v>2024</v>
      </c>
      <c r="B457" s="7" t="s">
        <v>123</v>
      </c>
      <c r="C457" s="7" t="s">
        <v>563</v>
      </c>
      <c r="D457" s="8" t="n">
        <v>415902</v>
      </c>
      <c r="E457" s="8" t="n">
        <v>383149</v>
      </c>
      <c r="F457" s="9" t="n">
        <v>81288.87</v>
      </c>
      <c r="G457" s="9" t="n">
        <v>757352.94</v>
      </c>
      <c r="H457" s="9" t="n">
        <v>1.7</v>
      </c>
      <c r="I457" s="9" t="n">
        <v>51215.38082</v>
      </c>
      <c r="J457" s="7" t="s">
        <v>319</v>
      </c>
    </row>
    <row r="458" customFormat="false" ht="14.25" hidden="false" customHeight="true" outlineLevel="0" collapsed="false">
      <c r="A458" s="10" t="n">
        <v>2024</v>
      </c>
      <c r="B458" s="10" t="s">
        <v>123</v>
      </c>
      <c r="C458" s="10" t="s">
        <v>564</v>
      </c>
      <c r="D458" s="11" t="n">
        <v>337179</v>
      </c>
      <c r="E458" s="11" t="n">
        <v>324726</v>
      </c>
      <c r="F458" s="12" t="n">
        <v>83443.94</v>
      </c>
      <c r="G458" s="12" t="n">
        <v>757352.94</v>
      </c>
      <c r="H458" s="12" t="n">
        <v>1.7</v>
      </c>
      <c r="I458" s="12" t="n">
        <v>52508.42282</v>
      </c>
      <c r="J458" s="10" t="s">
        <v>319</v>
      </c>
    </row>
    <row r="459" customFormat="false" ht="14.25" hidden="false" customHeight="true" outlineLevel="0" collapsed="false">
      <c r="A459" s="7" t="n">
        <v>2024</v>
      </c>
      <c r="B459" s="7" t="s">
        <v>129</v>
      </c>
      <c r="C459" s="7" t="s">
        <v>565</v>
      </c>
      <c r="D459" s="8" t="n">
        <v>822889</v>
      </c>
      <c r="E459" s="8" t="n">
        <v>773377</v>
      </c>
      <c r="F459" s="9" t="n">
        <v>79599.03</v>
      </c>
      <c r="G459" s="9" t="n">
        <v>752174</v>
      </c>
      <c r="H459" s="9" t="n">
        <v>1.5</v>
      </c>
      <c r="I459" s="9" t="n">
        <v>50165.94</v>
      </c>
      <c r="J459" s="7" t="s">
        <v>319</v>
      </c>
    </row>
    <row r="460" customFormat="false" ht="14.25" hidden="false" customHeight="true" outlineLevel="0" collapsed="false">
      <c r="A460" s="10" t="n">
        <v>2024</v>
      </c>
      <c r="B460" s="10" t="s">
        <v>129</v>
      </c>
      <c r="C460" s="10" t="s">
        <v>566</v>
      </c>
      <c r="D460" s="11" t="n">
        <v>522673</v>
      </c>
      <c r="E460" s="11" t="n">
        <v>493874</v>
      </c>
      <c r="F460" s="12" t="n">
        <v>82616.42</v>
      </c>
      <c r="G460" s="12" t="n">
        <v>752174</v>
      </c>
      <c r="H460" s="12" t="n">
        <v>1.5</v>
      </c>
      <c r="I460" s="12" t="n">
        <v>51976.374</v>
      </c>
      <c r="J460" s="10" t="s">
        <v>319</v>
      </c>
    </row>
    <row r="461" customFormat="false" ht="14.25" hidden="false" customHeight="true" outlineLevel="0" collapsed="false">
      <c r="A461" s="7" t="n">
        <v>2024</v>
      </c>
      <c r="B461" s="7" t="s">
        <v>129</v>
      </c>
      <c r="C461" s="7" t="s">
        <v>567</v>
      </c>
      <c r="D461" s="8" t="n">
        <v>397773</v>
      </c>
      <c r="E461" s="8" t="n">
        <v>352055</v>
      </c>
      <c r="F461" s="9" t="n">
        <v>84592.29</v>
      </c>
      <c r="G461" s="9" t="n">
        <v>752174</v>
      </c>
      <c r="H461" s="9" t="n">
        <v>1.5</v>
      </c>
      <c r="I461" s="9" t="n">
        <v>53161.896</v>
      </c>
      <c r="J461" s="7" t="s">
        <v>319</v>
      </c>
    </row>
    <row r="462" customFormat="false" ht="14.25" hidden="false" customHeight="true" outlineLevel="0" collapsed="false">
      <c r="A462" s="10" t="n">
        <v>2024</v>
      </c>
      <c r="B462" s="10" t="s">
        <v>129</v>
      </c>
      <c r="C462" s="10" t="s">
        <v>568</v>
      </c>
      <c r="D462" s="11" t="n">
        <v>368561</v>
      </c>
      <c r="E462" s="11" t="n">
        <v>334098</v>
      </c>
      <c r="F462" s="12" t="n">
        <v>85516.69</v>
      </c>
      <c r="G462" s="12" t="n">
        <v>752174</v>
      </c>
      <c r="H462" s="12" t="n">
        <v>1.5</v>
      </c>
      <c r="I462" s="12" t="n">
        <v>53716.536</v>
      </c>
      <c r="J462" s="10" t="s">
        <v>319</v>
      </c>
    </row>
    <row r="463" customFormat="false" ht="14.25" hidden="false" customHeight="true" outlineLevel="0" collapsed="false">
      <c r="A463" s="7" t="n">
        <v>2024</v>
      </c>
      <c r="B463" s="7" t="s">
        <v>134</v>
      </c>
      <c r="C463" s="7" t="s">
        <v>569</v>
      </c>
      <c r="D463" s="8" t="n">
        <v>573866</v>
      </c>
      <c r="E463" s="8" t="n">
        <v>550139</v>
      </c>
      <c r="F463" s="9" t="n">
        <v>85087.78</v>
      </c>
      <c r="G463" s="9" t="n">
        <v>746667</v>
      </c>
      <c r="H463" s="9" t="n">
        <v>0.5</v>
      </c>
      <c r="I463" s="9" t="n">
        <v>53342.669</v>
      </c>
      <c r="J463" s="7" t="s">
        <v>319</v>
      </c>
    </row>
    <row r="464" customFormat="false" ht="14.25" hidden="false" customHeight="true" outlineLevel="0" collapsed="false">
      <c r="A464" s="10" t="n">
        <v>2024</v>
      </c>
      <c r="B464" s="10" t="s">
        <v>134</v>
      </c>
      <c r="C464" s="10" t="s">
        <v>570</v>
      </c>
      <c r="D464" s="11" t="n">
        <v>693476</v>
      </c>
      <c r="E464" s="11" t="n">
        <v>606942</v>
      </c>
      <c r="F464" s="12" t="n">
        <v>88342.82</v>
      </c>
      <c r="G464" s="12" t="n">
        <v>746667</v>
      </c>
      <c r="H464" s="12" t="n">
        <v>0.5</v>
      </c>
      <c r="I464" s="12" t="n">
        <v>55295.693</v>
      </c>
      <c r="J464" s="10" t="s">
        <v>319</v>
      </c>
    </row>
    <row r="465" customFormat="false" ht="14.25" hidden="false" customHeight="true" outlineLevel="0" collapsed="false">
      <c r="A465" s="7" t="n">
        <v>2024</v>
      </c>
      <c r="B465" s="7" t="s">
        <v>134</v>
      </c>
      <c r="C465" s="7" t="s">
        <v>571</v>
      </c>
      <c r="D465" s="8" t="n">
        <v>650327</v>
      </c>
      <c r="E465" s="8" t="n">
        <v>598075</v>
      </c>
      <c r="F465" s="9" t="n">
        <v>92913.04</v>
      </c>
      <c r="G465" s="9" t="n">
        <v>746667</v>
      </c>
      <c r="H465" s="9" t="n">
        <v>0.5</v>
      </c>
      <c r="I465" s="9" t="n">
        <v>58037.825</v>
      </c>
      <c r="J465" s="7" t="s">
        <v>319</v>
      </c>
    </row>
    <row r="466" customFormat="false" ht="14.25" hidden="false" customHeight="true" outlineLevel="0" collapsed="false">
      <c r="A466" s="10" t="n">
        <v>2024</v>
      </c>
      <c r="B466" s="10" t="s">
        <v>134</v>
      </c>
      <c r="C466" s="10" t="s">
        <v>572</v>
      </c>
      <c r="D466" s="11" t="n">
        <v>294880</v>
      </c>
      <c r="E466" s="11" t="n">
        <v>275916</v>
      </c>
      <c r="F466" s="12" t="n">
        <v>94275.85</v>
      </c>
      <c r="G466" s="12" t="n">
        <v>746667</v>
      </c>
      <c r="H466" s="12" t="n">
        <v>0.5</v>
      </c>
      <c r="I466" s="12" t="n">
        <v>58855.511</v>
      </c>
      <c r="J466" s="10" t="s">
        <v>319</v>
      </c>
    </row>
    <row r="467" customFormat="false" ht="14.25" hidden="false" customHeight="true" outlineLevel="0" collapsed="false">
      <c r="A467" s="7" t="n">
        <v>2024</v>
      </c>
      <c r="B467" s="7" t="s">
        <v>134</v>
      </c>
      <c r="C467" s="7" t="s">
        <v>573</v>
      </c>
      <c r="D467" s="8" t="n">
        <v>573180</v>
      </c>
      <c r="E467" s="8" t="n">
        <v>544216</v>
      </c>
      <c r="F467" s="9" t="n">
        <v>92107.47</v>
      </c>
      <c r="G467" s="9" t="n">
        <v>746667</v>
      </c>
      <c r="H467" s="9" t="n">
        <v>0.5</v>
      </c>
      <c r="I467" s="9" t="n">
        <v>57554.483</v>
      </c>
      <c r="J467" s="7" t="s">
        <v>319</v>
      </c>
    </row>
    <row r="468" customFormat="false" ht="14.25" hidden="false" customHeight="true" outlineLevel="0" collapsed="false">
      <c r="A468" s="10" t="n">
        <v>2024</v>
      </c>
      <c r="B468" s="10" t="s">
        <v>140</v>
      </c>
      <c r="C468" s="10" t="s">
        <v>574</v>
      </c>
      <c r="D468" s="11" t="n">
        <v>690523</v>
      </c>
      <c r="E468" s="11" t="n">
        <v>642273</v>
      </c>
      <c r="F468" s="12" t="n">
        <v>87695.45</v>
      </c>
      <c r="G468" s="12" t="n">
        <v>752632</v>
      </c>
      <c r="H468" s="12" t="n">
        <v>0.2</v>
      </c>
      <c r="I468" s="12" t="n">
        <v>54895.166</v>
      </c>
      <c r="J468" s="10" t="s">
        <v>319</v>
      </c>
    </row>
    <row r="469" customFormat="false" ht="14.25" hidden="false" customHeight="true" outlineLevel="0" collapsed="false">
      <c r="A469" s="7" t="n">
        <v>2024</v>
      </c>
      <c r="B469" s="7" t="s">
        <v>140</v>
      </c>
      <c r="C469" s="7" t="s">
        <v>575</v>
      </c>
      <c r="D469" s="8" t="n">
        <v>545013</v>
      </c>
      <c r="E469" s="8" t="n">
        <v>439891</v>
      </c>
      <c r="F469" s="9" t="n">
        <v>86832.66</v>
      </c>
      <c r="G469" s="9" t="n">
        <v>752632</v>
      </c>
      <c r="H469" s="9" t="n">
        <v>0.2</v>
      </c>
      <c r="I469" s="9" t="n">
        <v>54377.492</v>
      </c>
      <c r="J469" s="7" t="s">
        <v>319</v>
      </c>
    </row>
    <row r="470" customFormat="false" ht="14.25" hidden="false" customHeight="true" outlineLevel="0" collapsed="false">
      <c r="A470" s="10" t="n">
        <v>2024</v>
      </c>
      <c r="B470" s="10" t="s">
        <v>140</v>
      </c>
      <c r="C470" s="10" t="s">
        <v>576</v>
      </c>
      <c r="D470" s="11" t="n">
        <v>620006</v>
      </c>
      <c r="E470" s="11" t="n">
        <v>566235</v>
      </c>
      <c r="F470" s="12" t="n">
        <v>90149.22</v>
      </c>
      <c r="G470" s="12" t="n">
        <v>752632</v>
      </c>
      <c r="H470" s="12" t="n">
        <v>0.2</v>
      </c>
      <c r="I470" s="12" t="n">
        <v>56367.428</v>
      </c>
      <c r="J470" s="10" t="s">
        <v>319</v>
      </c>
    </row>
    <row r="471" customFormat="false" ht="14.25" hidden="false" customHeight="true" outlineLevel="0" collapsed="false">
      <c r="A471" s="7" t="n">
        <v>2024</v>
      </c>
      <c r="B471" s="7" t="s">
        <v>145</v>
      </c>
      <c r="C471" s="7" t="s">
        <v>577</v>
      </c>
      <c r="D471" s="8" t="n">
        <v>637099</v>
      </c>
      <c r="E471" s="8" t="n">
        <v>609529</v>
      </c>
      <c r="F471" s="9" t="n">
        <v>93865.1</v>
      </c>
      <c r="G471" s="9" t="n">
        <v>750000</v>
      </c>
      <c r="H471" s="9" t="n">
        <v>-0.7</v>
      </c>
      <c r="I471" s="9" t="n">
        <v>58499.06</v>
      </c>
      <c r="J471" s="7" t="s">
        <v>319</v>
      </c>
    </row>
    <row r="472" customFormat="false" ht="14.25" hidden="false" customHeight="true" outlineLevel="0" collapsed="false">
      <c r="A472" s="10" t="n">
        <v>2024</v>
      </c>
      <c r="B472" s="10" t="s">
        <v>145</v>
      </c>
      <c r="C472" s="10" t="s">
        <v>578</v>
      </c>
      <c r="D472" s="11" t="n">
        <v>568859</v>
      </c>
      <c r="E472" s="11" t="n">
        <v>532346</v>
      </c>
      <c r="F472" s="12" t="n">
        <v>101177.51</v>
      </c>
      <c r="G472" s="12" t="n">
        <v>750000</v>
      </c>
      <c r="H472" s="12" t="n">
        <v>-0.7</v>
      </c>
      <c r="I472" s="12" t="n">
        <v>62886.506</v>
      </c>
      <c r="J472" s="10" t="s">
        <v>319</v>
      </c>
    </row>
    <row r="473" customFormat="false" ht="14.25" hidden="false" customHeight="true" outlineLevel="0" collapsed="false">
      <c r="A473" s="7" t="n">
        <v>2024</v>
      </c>
      <c r="B473" s="7" t="s">
        <v>145</v>
      </c>
      <c r="C473" s="7" t="s">
        <v>579</v>
      </c>
      <c r="D473" s="8" t="n">
        <v>413429</v>
      </c>
      <c r="E473" s="8" t="n">
        <v>307435</v>
      </c>
      <c r="F473" s="9" t="n">
        <v>105000</v>
      </c>
      <c r="G473" s="9" t="n">
        <v>750000</v>
      </c>
      <c r="H473" s="9" t="n">
        <v>-0.7</v>
      </c>
      <c r="I473" s="9" t="n">
        <v>65180</v>
      </c>
      <c r="J473" s="7" t="s">
        <v>319</v>
      </c>
    </row>
    <row r="474" customFormat="false" ht="14.25" hidden="false" customHeight="true" outlineLevel="0" collapsed="false">
      <c r="A474" s="10" t="n">
        <v>2024</v>
      </c>
      <c r="B474" s="10" t="s">
        <v>150</v>
      </c>
      <c r="C474" s="10" t="s">
        <v>580</v>
      </c>
      <c r="D474" s="11" t="n">
        <v>449698</v>
      </c>
      <c r="E474" s="11" t="n">
        <v>405579</v>
      </c>
      <c r="F474" s="12" t="n">
        <v>100000</v>
      </c>
      <c r="G474" s="12" t="n">
        <v>776315.79</v>
      </c>
      <c r="H474" s="12" t="n">
        <v>-2.1</v>
      </c>
      <c r="I474" s="12" t="n">
        <v>62118.94737</v>
      </c>
      <c r="J474" s="10" t="s">
        <v>319</v>
      </c>
    </row>
    <row r="475" customFormat="false" ht="14.25" hidden="false" customHeight="true" outlineLevel="0" collapsed="false">
      <c r="A475" s="7" t="n">
        <v>2024</v>
      </c>
      <c r="B475" s="7" t="s">
        <v>150</v>
      </c>
      <c r="C475" s="7" t="s">
        <v>581</v>
      </c>
      <c r="D475" s="8" t="n">
        <v>641724</v>
      </c>
      <c r="E475" s="8" t="n">
        <v>574938</v>
      </c>
      <c r="F475" s="9" t="n">
        <v>99959.25</v>
      </c>
      <c r="G475" s="9" t="n">
        <v>776315.79</v>
      </c>
      <c r="H475" s="9" t="n">
        <v>-2.1</v>
      </c>
      <c r="I475" s="9" t="n">
        <v>62094.49737</v>
      </c>
      <c r="J475" s="7" t="s">
        <v>319</v>
      </c>
    </row>
    <row r="476" customFormat="false" ht="14.25" hidden="false" customHeight="true" outlineLevel="0" collapsed="false">
      <c r="A476" s="10" t="n">
        <v>2024</v>
      </c>
      <c r="B476" s="10" t="s">
        <v>150</v>
      </c>
      <c r="C476" s="10" t="s">
        <v>582</v>
      </c>
      <c r="D476" s="11" t="n">
        <v>284870</v>
      </c>
      <c r="E476" s="11" t="n">
        <v>231221</v>
      </c>
      <c r="F476" s="12" t="n">
        <v>99684.19</v>
      </c>
      <c r="G476" s="12" t="n">
        <v>776315.79</v>
      </c>
      <c r="H476" s="12" t="n">
        <v>-2.1</v>
      </c>
      <c r="I476" s="12" t="n">
        <v>61929.46137</v>
      </c>
      <c r="J476" s="10" t="s">
        <v>319</v>
      </c>
    </row>
    <row r="477" customFormat="false" ht="14.25" hidden="false" customHeight="true" outlineLevel="0" collapsed="false">
      <c r="A477" s="7" t="n">
        <v>2024</v>
      </c>
      <c r="B477" s="7" t="s">
        <v>150</v>
      </c>
      <c r="C477" s="7" t="s">
        <v>583</v>
      </c>
      <c r="D477" s="7" t="n">
        <v>527199</v>
      </c>
      <c r="E477" s="7" t="n">
        <v>424157</v>
      </c>
      <c r="F477" s="7" t="n">
        <v>109615.8</v>
      </c>
      <c r="G477" s="7" t="n">
        <v>776315.79</v>
      </c>
      <c r="H477" s="7" t="n">
        <v>-2.1</v>
      </c>
      <c r="I477" s="7" t="n">
        <v>67888.42737</v>
      </c>
      <c r="J477" s="7" t="s">
        <v>319</v>
      </c>
    </row>
    <row r="478" customFormat="false" ht="14.25" hidden="false" customHeight="true" outlineLevel="0" collapsed="false">
      <c r="A478" s="10" t="n">
        <v>2025</v>
      </c>
      <c r="B478" s="10" t="s">
        <v>96</v>
      </c>
      <c r="C478" s="10" t="s">
        <v>584</v>
      </c>
      <c r="D478" s="11" t="n">
        <v>279102</v>
      </c>
      <c r="E478" s="11" t="n">
        <v>267138</v>
      </c>
      <c r="F478" s="12" t="n">
        <v>129699</v>
      </c>
      <c r="G478" s="12" t="n">
        <v>800000</v>
      </c>
      <c r="H478" s="12" t="n">
        <v>1.5</v>
      </c>
      <c r="I478" s="12" t="n">
        <v>12800</v>
      </c>
      <c r="J478" s="10" t="s">
        <v>408</v>
      </c>
    </row>
    <row r="479" customFormat="false" ht="14.25" hidden="false" customHeight="true" outlineLevel="0" collapsed="false">
      <c r="A479" s="10" t="n">
        <v>2025</v>
      </c>
      <c r="B479" s="10" t="s">
        <v>96</v>
      </c>
      <c r="C479" s="10" t="s">
        <v>585</v>
      </c>
      <c r="D479" s="11" t="n">
        <v>239829</v>
      </c>
      <c r="E479" s="11" t="n">
        <v>238624</v>
      </c>
      <c r="F479" s="12" t="n">
        <v>145687</v>
      </c>
      <c r="G479" s="12" t="n">
        <v>800000</v>
      </c>
      <c r="H479" s="12" t="n">
        <v>1.5</v>
      </c>
      <c r="I479" s="12" t="n">
        <v>12900</v>
      </c>
      <c r="J479" s="10" t="s">
        <v>408</v>
      </c>
    </row>
    <row r="480" customFormat="false" ht="14.25" hidden="false" customHeight="true" outlineLevel="0" collapsed="false">
      <c r="A480" s="10" t="n">
        <v>2025</v>
      </c>
      <c r="B480" s="10" t="s">
        <v>96</v>
      </c>
      <c r="C480" s="10" t="s">
        <v>586</v>
      </c>
      <c r="D480" s="11" t="n">
        <v>172462</v>
      </c>
      <c r="E480" s="11" t="n">
        <v>114800</v>
      </c>
      <c r="F480" s="12" t="n">
        <v>140000</v>
      </c>
      <c r="G480" s="12" t="n">
        <v>800000</v>
      </c>
      <c r="H480" s="12" t="n">
        <v>1.5</v>
      </c>
      <c r="I480" s="12" t="n">
        <v>13000</v>
      </c>
      <c r="J480" s="10" t="s">
        <v>408</v>
      </c>
    </row>
    <row r="481" customFormat="false" ht="51" hidden="false" customHeight="true" outlineLevel="0" collapsed="false">
      <c r="A481" s="10" t="n">
        <v>2025</v>
      </c>
      <c r="B481" s="10" t="s">
        <v>96</v>
      </c>
      <c r="C481" s="10" t="s">
        <v>587</v>
      </c>
      <c r="D481" s="11" t="n">
        <v>82257</v>
      </c>
      <c r="E481" s="11" t="n">
        <v>82257</v>
      </c>
      <c r="F481" s="12" t="n">
        <v>140000</v>
      </c>
      <c r="G481" s="12" t="n">
        <v>800000</v>
      </c>
      <c r="H481" s="12" t="n">
        <v>1.5</v>
      </c>
      <c r="I481" s="12" t="n">
        <v>13050</v>
      </c>
      <c r="J481" s="10" t="s">
        <v>408</v>
      </c>
    </row>
    <row r="482" customFormat="false" ht="14.25" hidden="false" customHeight="true" outlineLevel="0" collapsed="false">
      <c r="A482" s="10" t="n">
        <v>2025</v>
      </c>
      <c r="B482" s="10" t="s">
        <v>102</v>
      </c>
      <c r="C482" s="10" t="s">
        <v>588</v>
      </c>
      <c r="D482" s="10" t="n">
        <v>177362</v>
      </c>
      <c r="E482" s="10" t="n">
        <v>173007</v>
      </c>
      <c r="F482" s="10" t="n">
        <v>140000</v>
      </c>
      <c r="G482" s="10" t="n">
        <v>810000</v>
      </c>
      <c r="H482" s="10" t="n">
        <v>1.8</v>
      </c>
      <c r="I482" s="10" t="n">
        <v>13100</v>
      </c>
      <c r="J482" s="10" t="s">
        <v>408</v>
      </c>
    </row>
    <row r="483" customFormat="false" ht="14.25" hidden="false" customHeight="true" outlineLevel="0" collapsed="false">
      <c r="A483" s="10" t="n">
        <v>2025</v>
      </c>
      <c r="B483" s="10" t="s">
        <v>102</v>
      </c>
      <c r="C483" s="10" t="s">
        <v>589</v>
      </c>
      <c r="D483" s="11" t="n">
        <v>21569</v>
      </c>
      <c r="E483" s="11" t="n">
        <v>21569</v>
      </c>
      <c r="F483" s="12" t="n">
        <v>140000</v>
      </c>
      <c r="G483" s="12" t="n">
        <v>810000</v>
      </c>
      <c r="H483" s="12" t="n">
        <v>1.8</v>
      </c>
      <c r="I483" s="12" t="n">
        <v>13150</v>
      </c>
      <c r="J483" s="10" t="s">
        <v>408</v>
      </c>
    </row>
    <row r="484" customFormat="false" ht="14.25" hidden="false" customHeight="true" outlineLevel="0" collapsed="false">
      <c r="A484" s="10" t="n">
        <v>2025</v>
      </c>
      <c r="B484" s="10" t="s">
        <v>107</v>
      </c>
      <c r="C484" s="10" t="s">
        <v>590</v>
      </c>
      <c r="D484" s="11" t="n">
        <v>316427</v>
      </c>
      <c r="E484" s="11" t="n">
        <v>228906</v>
      </c>
      <c r="F484" s="12" t="n">
        <v>145345.74</v>
      </c>
      <c r="G484" s="12" t="n">
        <v>820000</v>
      </c>
      <c r="H484" s="12" t="n">
        <v>2.1</v>
      </c>
      <c r="I484" s="12" t="n">
        <v>13200</v>
      </c>
      <c r="J484" s="10" t="s">
        <v>408</v>
      </c>
    </row>
    <row r="485" customFormat="false" ht="14.25" hidden="false" customHeight="true" outlineLevel="0" collapsed="false">
      <c r="A485" s="10" t="n">
        <v>2025</v>
      </c>
      <c r="B485" s="10" t="s">
        <v>107</v>
      </c>
      <c r="C485" s="10" t="s">
        <v>591</v>
      </c>
      <c r="D485" s="11" t="n">
        <v>243247</v>
      </c>
      <c r="E485" s="11" t="n">
        <v>178309</v>
      </c>
      <c r="F485" s="12" t="n">
        <v>135731.72</v>
      </c>
      <c r="G485" s="12" t="n">
        <v>820000</v>
      </c>
      <c r="H485" s="12" t="n">
        <v>2.1</v>
      </c>
      <c r="I485" s="12" t="n">
        <v>13250</v>
      </c>
      <c r="J485" s="10" t="s">
        <v>408</v>
      </c>
    </row>
    <row r="486" customFormat="false" ht="14.25" hidden="false" customHeight="true" outlineLevel="0" collapsed="false">
      <c r="A486" s="10" t="n">
        <v>2025</v>
      </c>
      <c r="B486" s="10" t="s">
        <v>107</v>
      </c>
      <c r="C486" s="10" t="s">
        <v>592</v>
      </c>
      <c r="D486" s="11" t="n">
        <v>202941</v>
      </c>
      <c r="E486" s="11" t="n">
        <v>164976</v>
      </c>
      <c r="F486" s="12" t="n">
        <v>146158</v>
      </c>
      <c r="G486" s="12" t="n">
        <v>820000</v>
      </c>
      <c r="H486" s="12" t="n">
        <v>2.1</v>
      </c>
      <c r="I486" s="12" t="n">
        <v>13300</v>
      </c>
      <c r="J486" s="10" t="s">
        <v>408</v>
      </c>
    </row>
    <row r="487" customFormat="false" ht="14.25" hidden="false" customHeight="true" outlineLevel="0" collapsed="false">
      <c r="A487" s="10" t="n">
        <v>2025</v>
      </c>
      <c r="B487" s="10" t="s">
        <v>113</v>
      </c>
      <c r="C487" s="10" t="s">
        <v>593</v>
      </c>
      <c r="D487" s="11" t="n">
        <v>362016</v>
      </c>
      <c r="E487" s="11" t="n">
        <v>345342</v>
      </c>
      <c r="F487" s="12" t="n">
        <v>174601.5</v>
      </c>
      <c r="G487" s="12" t="n">
        <v>830000</v>
      </c>
      <c r="H487" s="12" t="n">
        <v>2.4</v>
      </c>
      <c r="I487" s="12" t="n">
        <v>13350</v>
      </c>
      <c r="J487" s="10" t="s">
        <v>408</v>
      </c>
    </row>
    <row r="488" customFormat="false" ht="14.25" hidden="false" customHeight="true" outlineLevel="0" collapsed="false">
      <c r="A488" s="10" t="n">
        <v>2025</v>
      </c>
      <c r="B488" s="10" t="s">
        <v>113</v>
      </c>
      <c r="C488" s="10" t="s">
        <v>594</v>
      </c>
      <c r="D488" s="11" t="n">
        <v>227487</v>
      </c>
      <c r="E488" s="11" t="n">
        <v>193003</v>
      </c>
      <c r="F488" s="12" t="n">
        <v>179497.23</v>
      </c>
      <c r="G488" s="12" t="n">
        <v>830000</v>
      </c>
      <c r="H488" s="12" t="n">
        <v>2.4</v>
      </c>
      <c r="I488" s="12" t="n">
        <v>13400</v>
      </c>
      <c r="J488" s="10" t="s">
        <v>408</v>
      </c>
    </row>
    <row r="489" customFormat="false" ht="14.25" hidden="false" customHeight="true" outlineLevel="0" collapsed="false">
      <c r="A489" s="10" t="n">
        <v>2025</v>
      </c>
      <c r="B489" s="10" t="s">
        <v>113</v>
      </c>
      <c r="C489" s="10" t="s">
        <v>595</v>
      </c>
      <c r="D489" s="11" t="n">
        <v>226241</v>
      </c>
      <c r="E489" s="11" t="n">
        <v>226241</v>
      </c>
      <c r="F489" s="12" t="n">
        <v>181915.68</v>
      </c>
      <c r="G489" s="12" t="n">
        <v>830000</v>
      </c>
      <c r="H489" s="12" t="n">
        <v>2.4</v>
      </c>
      <c r="I489" s="12" t="n">
        <v>13450</v>
      </c>
      <c r="J489" s="10" t="s">
        <v>408</v>
      </c>
    </row>
    <row r="490" customFormat="false" ht="14.25" hidden="false" customHeight="true" outlineLevel="0" collapsed="false">
      <c r="A490" s="10" t="n">
        <v>2025</v>
      </c>
      <c r="B490" s="10" t="s">
        <v>118</v>
      </c>
      <c r="C490" s="10" t="s">
        <v>596</v>
      </c>
      <c r="D490" s="11" t="n">
        <v>268411</v>
      </c>
      <c r="E490" s="11" t="n">
        <v>248632</v>
      </c>
      <c r="F490" s="12" t="n">
        <v>172144.61</v>
      </c>
      <c r="G490" s="12" t="n">
        <v>820000</v>
      </c>
      <c r="H490" s="12" t="n">
        <v>2.2</v>
      </c>
      <c r="I490" s="12" t="n">
        <v>13500</v>
      </c>
      <c r="J490" s="10" t="s">
        <v>408</v>
      </c>
    </row>
    <row r="491" customFormat="false" ht="14.25" hidden="false" customHeight="true" outlineLevel="0" collapsed="false">
      <c r="A491" s="10" t="n">
        <v>2025</v>
      </c>
      <c r="B491" s="10" t="s">
        <v>118</v>
      </c>
      <c r="C491" s="10" t="s">
        <v>597</v>
      </c>
      <c r="D491" s="11" t="n">
        <v>413620</v>
      </c>
      <c r="E491" s="11" t="n">
        <v>348864</v>
      </c>
      <c r="F491" s="12" t="n">
        <v>160464.02</v>
      </c>
      <c r="G491" s="12" t="n">
        <v>820000</v>
      </c>
      <c r="H491" s="12" t="n">
        <v>2.2</v>
      </c>
      <c r="I491" s="12" t="n">
        <v>13550</v>
      </c>
      <c r="J491" s="10" t="s">
        <v>408</v>
      </c>
    </row>
    <row r="492" customFormat="false" ht="14.25" hidden="false" customHeight="true" outlineLevel="0" collapsed="false">
      <c r="A492" s="10" t="n">
        <v>2025</v>
      </c>
      <c r="B492" s="10" t="s">
        <v>118</v>
      </c>
      <c r="C492" s="10" t="s">
        <v>598</v>
      </c>
      <c r="D492" s="11" t="n">
        <v>380317</v>
      </c>
      <c r="E492" s="11" t="n">
        <v>293934</v>
      </c>
      <c r="F492" s="12" t="n">
        <v>165533.82</v>
      </c>
      <c r="G492" s="12" t="n">
        <v>820000</v>
      </c>
      <c r="H492" s="12" t="n">
        <v>2.2</v>
      </c>
      <c r="I492" s="12" t="n">
        <v>13600</v>
      </c>
      <c r="J492" s="10" t="s">
        <v>408</v>
      </c>
    </row>
    <row r="493" customFormat="false" ht="14.25" hidden="false" customHeight="true" outlineLevel="0" collapsed="false">
      <c r="A493" s="10" t="n">
        <v>2025</v>
      </c>
      <c r="B493" s="10" t="s">
        <v>118</v>
      </c>
      <c r="C493" s="10" t="s">
        <v>599</v>
      </c>
      <c r="D493" s="11" t="n">
        <v>442110</v>
      </c>
      <c r="E493" s="11" t="n">
        <v>383879</v>
      </c>
      <c r="F493" s="12" t="n">
        <v>162069.67</v>
      </c>
      <c r="G493" s="12" t="n">
        <v>820000</v>
      </c>
      <c r="H493" s="12" t="n">
        <v>2.2</v>
      </c>
      <c r="I493" s="12" t="n">
        <v>13650</v>
      </c>
      <c r="J493" s="10" t="s">
        <v>408</v>
      </c>
    </row>
    <row r="494" customFormat="false" ht="14.25" hidden="false" customHeight="true" outlineLevel="0" collapsed="false">
      <c r="A494" s="10" t="n">
        <v>2025</v>
      </c>
      <c r="B494" s="10" t="s">
        <v>123</v>
      </c>
      <c r="C494" s="10" t="s">
        <v>600</v>
      </c>
      <c r="D494" s="11" t="n">
        <v>748079</v>
      </c>
      <c r="E494" s="11" t="n">
        <v>262481</v>
      </c>
      <c r="F494" s="12" t="n">
        <v>143239.46</v>
      </c>
      <c r="G494" s="12" t="n">
        <v>810000</v>
      </c>
      <c r="H494" s="12" t="n">
        <v>1.9</v>
      </c>
      <c r="I494" s="12" t="n">
        <v>13700</v>
      </c>
      <c r="J494" s="10" t="s">
        <v>408</v>
      </c>
    </row>
    <row r="495" customFormat="false" ht="14.25" hidden="false" customHeight="true" outlineLevel="0" collapsed="false">
      <c r="A495" s="10" t="n">
        <v>2025</v>
      </c>
      <c r="B495" s="10" t="s">
        <v>123</v>
      </c>
      <c r="C495" s="10" t="s">
        <v>601</v>
      </c>
      <c r="D495" s="11" t="n">
        <v>943906</v>
      </c>
      <c r="E495" s="11" t="n">
        <v>756652</v>
      </c>
      <c r="F495" s="12" t="n">
        <v>124830.7</v>
      </c>
      <c r="G495" s="12" t="n">
        <v>810000</v>
      </c>
      <c r="H495" s="12" t="n">
        <v>1.9</v>
      </c>
      <c r="I495" s="12" t="n">
        <v>13750</v>
      </c>
      <c r="J495" s="10" t="s">
        <v>408</v>
      </c>
    </row>
    <row r="496" customFormat="false" ht="14.25" hidden="false" customHeight="true" outlineLevel="0" collapsed="false">
      <c r="A496" s="10" t="n">
        <v>2025</v>
      </c>
      <c r="B496" s="10" t="s">
        <v>123</v>
      </c>
      <c r="C496" s="10" t="s">
        <v>602</v>
      </c>
      <c r="D496" s="11" t="n">
        <v>517354</v>
      </c>
      <c r="E496" s="11" t="n">
        <v>463575</v>
      </c>
      <c r="F496" s="12" t="n">
        <v>125575.7</v>
      </c>
      <c r="G496" s="12" t="n">
        <v>810000</v>
      </c>
      <c r="H496" s="12" t="n">
        <v>1.9</v>
      </c>
      <c r="I496" s="12" t="n">
        <v>13800</v>
      </c>
      <c r="J496" s="10" t="s">
        <v>408</v>
      </c>
    </row>
    <row r="497" customFormat="false" ht="14.25" hidden="false" customHeight="true" outlineLevel="0" collapsed="false">
      <c r="A497" s="10" t="n">
        <v>2025</v>
      </c>
      <c r="B497" s="10" t="s">
        <v>123</v>
      </c>
      <c r="C497" s="10" t="s">
        <v>603</v>
      </c>
      <c r="D497" s="11" t="n">
        <v>453733</v>
      </c>
      <c r="E497" s="11" t="n">
        <v>410323</v>
      </c>
      <c r="F497" s="12" t="n">
        <v>118117.37</v>
      </c>
      <c r="G497" s="12" t="n">
        <v>810000</v>
      </c>
      <c r="H497" s="12" t="n">
        <v>1.9</v>
      </c>
      <c r="I497" s="12" t="n">
        <v>13850</v>
      </c>
      <c r="J497" s="10" t="s">
        <v>408</v>
      </c>
    </row>
    <row r="498" customFormat="false" ht="14.25" hidden="false" customHeight="true" outlineLevel="0" collapsed="false">
      <c r="A498" s="10" t="n">
        <v>2025</v>
      </c>
      <c r="B498" s="10" t="s">
        <v>129</v>
      </c>
      <c r="C498" s="10" t="s">
        <v>604</v>
      </c>
      <c r="D498" s="11" t="n">
        <v>676657</v>
      </c>
      <c r="E498" s="11" t="n">
        <v>613495</v>
      </c>
      <c r="F498" s="12" t="n">
        <v>114779.06</v>
      </c>
      <c r="G498" s="12" t="n">
        <v>800000</v>
      </c>
      <c r="H498" s="12" t="n">
        <v>1.7</v>
      </c>
      <c r="I498" s="12" t="n">
        <v>13900</v>
      </c>
      <c r="J498" s="10" t="s">
        <v>408</v>
      </c>
    </row>
    <row r="499" customFormat="false" ht="14.25" hidden="false" customHeight="true" outlineLevel="0" collapsed="false">
      <c r="A499" s="10" t="n">
        <v>2025</v>
      </c>
      <c r="B499" s="10" t="s">
        <v>129</v>
      </c>
      <c r="C499" s="10" t="s">
        <v>605</v>
      </c>
      <c r="D499" s="11" t="n">
        <v>856780</v>
      </c>
      <c r="E499" s="11" t="n">
        <v>763665</v>
      </c>
      <c r="F499" s="12" t="n">
        <v>115659.98</v>
      </c>
      <c r="G499" s="12" t="n">
        <v>800000</v>
      </c>
      <c r="H499" s="12" t="n">
        <v>1.7</v>
      </c>
      <c r="I499" s="12" t="n">
        <v>13950</v>
      </c>
      <c r="J499" s="10" t="s">
        <v>408</v>
      </c>
    </row>
    <row r="500" customFormat="false" ht="14.25" hidden="false" customHeight="true" outlineLevel="0" collapsed="false">
      <c r="A500" s="10" t="n">
        <v>2025</v>
      </c>
      <c r="B500" s="10" t="s">
        <v>129</v>
      </c>
      <c r="C500" s="10" t="s">
        <v>606</v>
      </c>
      <c r="D500" s="11" t="n">
        <v>402742</v>
      </c>
      <c r="E500" s="11" t="n">
        <v>381624</v>
      </c>
      <c r="F500" s="12" t="n">
        <v>126537.8</v>
      </c>
      <c r="G500" s="12" t="n">
        <v>800000</v>
      </c>
      <c r="H500" s="12" t="n">
        <v>1.7</v>
      </c>
      <c r="I500" s="12" t="n">
        <v>14000</v>
      </c>
      <c r="J500" s="10" t="s">
        <v>408</v>
      </c>
    </row>
    <row r="501" customFormat="false" ht="14.25" hidden="false" customHeight="true" outlineLevel="0" collapsed="false">
      <c r="A501" s="10" t="n">
        <v>2025</v>
      </c>
      <c r="B501" s="10" t="s">
        <v>129</v>
      </c>
      <c r="C501" s="10" t="s">
        <v>607</v>
      </c>
      <c r="D501" s="11" t="n">
        <v>598139</v>
      </c>
      <c r="E501" s="11" t="n">
        <v>582364</v>
      </c>
      <c r="F501" s="12" t="n">
        <v>149468.77</v>
      </c>
      <c r="G501" s="12" t="n">
        <v>800000</v>
      </c>
      <c r="H501" s="12" t="n">
        <v>1.7</v>
      </c>
      <c r="I501" s="12" t="n">
        <v>14050</v>
      </c>
      <c r="J501" s="10" t="s">
        <v>408</v>
      </c>
    </row>
    <row r="502" customFormat="false" ht="14.25" hidden="false" customHeight="true" outlineLevel="0" collapsed="false">
      <c r="A502" s="10" t="n">
        <v>2025</v>
      </c>
      <c r="B502" s="10" t="s">
        <v>134</v>
      </c>
      <c r="C502" s="10" t="s">
        <v>608</v>
      </c>
      <c r="D502" s="11" t="n">
        <v>751836</v>
      </c>
      <c r="E502" s="11" t="n">
        <v>523823</v>
      </c>
      <c r="F502" s="12" t="n">
        <v>141295.81</v>
      </c>
      <c r="G502" s="12" t="n">
        <v>790000</v>
      </c>
      <c r="H502" s="12" t="n">
        <v>1.5</v>
      </c>
      <c r="I502" s="12" t="n">
        <v>14100</v>
      </c>
      <c r="J502" s="10" t="s">
        <v>408</v>
      </c>
    </row>
    <row r="503" customFormat="false" ht="14.25" hidden="false" customHeight="true" outlineLevel="0" collapsed="false">
      <c r="A503" s="10" t="n">
        <v>2025</v>
      </c>
      <c r="B503" s="10" t="s">
        <v>134</v>
      </c>
      <c r="C503" s="10" t="s">
        <v>609</v>
      </c>
      <c r="D503" s="11" t="n">
        <v>658480</v>
      </c>
      <c r="E503" s="11" t="n">
        <v>582000</v>
      </c>
      <c r="F503" s="12" t="n">
        <v>133623.91</v>
      </c>
      <c r="G503" s="12" t="n">
        <v>790000</v>
      </c>
      <c r="H503" s="12" t="n">
        <v>1.5</v>
      </c>
      <c r="I503" s="12" t="n">
        <v>14150</v>
      </c>
      <c r="J503" s="10" t="s">
        <v>408</v>
      </c>
    </row>
    <row r="504" customFormat="false" ht="14.25" hidden="false" customHeight="true" outlineLevel="0" collapsed="false">
      <c r="A504" s="10" t="n">
        <v>2025</v>
      </c>
      <c r="B504" s="10" t="s">
        <v>134</v>
      </c>
      <c r="C504" s="10" t="s">
        <v>610</v>
      </c>
      <c r="D504" s="11" t="n">
        <v>551525</v>
      </c>
      <c r="E504" s="11" t="n">
        <v>519803</v>
      </c>
      <c r="F504" s="12" t="n">
        <v>134068.09</v>
      </c>
      <c r="G504" s="12" t="n">
        <v>790000</v>
      </c>
      <c r="H504" s="12" t="n">
        <v>1.5</v>
      </c>
      <c r="I504" s="12" t="n">
        <v>14200</v>
      </c>
      <c r="J504" s="10" t="s">
        <v>408</v>
      </c>
    </row>
    <row r="505" customFormat="false" ht="14.25" hidden="false" customHeight="true" outlineLevel="0" collapsed="false">
      <c r="A505" s="10" t="n">
        <v>2025</v>
      </c>
      <c r="B505" s="10" t="s">
        <v>134</v>
      </c>
      <c r="C505" s="10" t="s">
        <v>611</v>
      </c>
      <c r="D505" s="11" t="n">
        <v>639098</v>
      </c>
      <c r="E505" s="11" t="n">
        <v>531960</v>
      </c>
      <c r="F505" s="12" t="n">
        <v>144000.12</v>
      </c>
      <c r="G505" s="12" t="n">
        <v>790000</v>
      </c>
      <c r="H505" s="12" t="n">
        <v>1.5</v>
      </c>
      <c r="I505" s="12" t="n">
        <v>14250</v>
      </c>
      <c r="J505" s="10" t="s">
        <v>408</v>
      </c>
    </row>
    <row r="506" customFormat="false" ht="14.25" hidden="false" customHeight="true" outlineLevel="0" collapsed="false">
      <c r="A506" s="10" t="n">
        <v>2025</v>
      </c>
      <c r="B506" s="10" t="s">
        <v>140</v>
      </c>
      <c r="C506" s="10" t="s">
        <v>612</v>
      </c>
      <c r="D506" s="11" t="n">
        <v>918522</v>
      </c>
      <c r="E506" s="11" t="n">
        <v>813263</v>
      </c>
      <c r="F506" s="12" t="n">
        <v>144210.23</v>
      </c>
      <c r="G506" s="12" t="n">
        <v>785000</v>
      </c>
      <c r="H506" s="12" t="n">
        <v>1.4</v>
      </c>
      <c r="I506" s="12" t="n">
        <v>14300</v>
      </c>
      <c r="J506" s="10" t="s">
        <v>408</v>
      </c>
    </row>
    <row r="507" customFormat="false" ht="14.25" hidden="false" customHeight="true" outlineLevel="0" collapsed="false">
      <c r="A507" s="10" t="n">
        <v>2025</v>
      </c>
      <c r="B507" s="10" t="s">
        <v>140</v>
      </c>
      <c r="C507" s="10" t="s">
        <v>613</v>
      </c>
      <c r="D507" s="11" t="n">
        <v>516578</v>
      </c>
      <c r="E507" s="11" t="n">
        <v>374010</v>
      </c>
      <c r="F507" s="12" t="n">
        <v>141760.77</v>
      </c>
      <c r="G507" s="12" t="n">
        <v>785000</v>
      </c>
      <c r="H507" s="12" t="n">
        <v>1.4</v>
      </c>
      <c r="I507" s="12" t="n">
        <v>14350</v>
      </c>
      <c r="J507" s="10" t="s">
        <v>408</v>
      </c>
    </row>
    <row r="508" customFormat="false" ht="14.25" hidden="false" customHeight="true" outlineLevel="0" collapsed="false">
      <c r="A508" s="10" t="n">
        <v>2025</v>
      </c>
      <c r="B508" s="10" t="s">
        <v>140</v>
      </c>
      <c r="C508" s="10" t="s">
        <v>614</v>
      </c>
      <c r="D508" s="11" t="n">
        <v>484329</v>
      </c>
      <c r="E508" s="11" t="n">
        <v>424123</v>
      </c>
      <c r="F508" s="12" t="n">
        <v>133686.72</v>
      </c>
      <c r="G508" s="12" t="n">
        <v>785000</v>
      </c>
      <c r="H508" s="12" t="n">
        <v>1.4</v>
      </c>
      <c r="I508" s="12" t="n">
        <v>14400</v>
      </c>
      <c r="J508" s="10" t="s">
        <v>408</v>
      </c>
    </row>
    <row r="509" customFormat="false" ht="14.25" hidden="false" customHeight="true" outlineLevel="0" collapsed="false">
      <c r="A509" s="10" t="n">
        <v>2025</v>
      </c>
      <c r="B509" s="10" t="s">
        <v>140</v>
      </c>
      <c r="C509" s="10" t="s">
        <v>615</v>
      </c>
      <c r="D509" s="11" t="n">
        <v>394279</v>
      </c>
      <c r="E509" s="11" t="n">
        <v>350130</v>
      </c>
      <c r="F509" s="12" t="n">
        <v>129732.23</v>
      </c>
      <c r="G509" s="12" t="n">
        <v>785000</v>
      </c>
      <c r="H509" s="12" t="n">
        <v>1.4</v>
      </c>
      <c r="I509" s="12" t="n">
        <v>14450</v>
      </c>
      <c r="J509" s="10" t="s">
        <v>408</v>
      </c>
    </row>
    <row r="510" customFormat="false" ht="14.25" hidden="false" customHeight="true" outlineLevel="0" collapsed="false">
      <c r="A510" s="10" t="n">
        <v>2025</v>
      </c>
      <c r="B510" s="10" t="s">
        <v>145</v>
      </c>
      <c r="C510" s="10" t="s">
        <v>616</v>
      </c>
      <c r="D510" s="11" t="n">
        <v>682300</v>
      </c>
      <c r="E510" s="11" t="n">
        <v>578265</v>
      </c>
      <c r="F510" s="12" t="n">
        <v>138581.96</v>
      </c>
      <c r="G510" s="12" t="n">
        <v>780000</v>
      </c>
      <c r="H510" s="12" t="n">
        <v>1.3</v>
      </c>
      <c r="I510" s="12" t="n">
        <v>14500</v>
      </c>
      <c r="J510" s="10" t="s">
        <v>408</v>
      </c>
    </row>
    <row r="511" customFormat="false" ht="14.25" hidden="false" customHeight="true" outlineLevel="0" collapsed="false">
      <c r="A511" s="10" t="n">
        <v>2025</v>
      </c>
      <c r="B511" s="10" t="s">
        <v>145</v>
      </c>
      <c r="C511" s="10" t="s">
        <v>617</v>
      </c>
      <c r="D511" s="11" t="n">
        <v>717319</v>
      </c>
      <c r="E511" s="11" t="n">
        <v>617850</v>
      </c>
      <c r="F511" s="12" t="n">
        <v>136059.65</v>
      </c>
      <c r="G511" s="12" t="n">
        <v>780000</v>
      </c>
      <c r="H511" s="12" t="n">
        <v>1.3</v>
      </c>
      <c r="I511" s="12" t="n">
        <v>14550</v>
      </c>
      <c r="J511" s="10" t="s">
        <v>408</v>
      </c>
    </row>
    <row r="512" customFormat="false" ht="14.25" hidden="false" customHeight="true" outlineLevel="0" collapsed="false">
      <c r="A512" s="10" t="n">
        <v>2025</v>
      </c>
      <c r="B512" s="10" t="s">
        <v>145</v>
      </c>
      <c r="C512" s="10" t="s">
        <v>618</v>
      </c>
      <c r="D512" s="11" t="n">
        <v>361926</v>
      </c>
      <c r="E512" s="11" t="n">
        <v>272939</v>
      </c>
      <c r="F512" s="12" t="n">
        <v>134860.29</v>
      </c>
      <c r="G512" s="12" t="n">
        <v>780000</v>
      </c>
      <c r="H512" s="12" t="n">
        <v>1.3</v>
      </c>
      <c r="I512" s="12" t="n">
        <v>14600</v>
      </c>
      <c r="J512" s="10" t="s">
        <v>408</v>
      </c>
    </row>
    <row r="513" customFormat="false" ht="14.25" hidden="false" customHeight="true" outlineLevel="0" collapsed="false">
      <c r="A513" s="10" t="n">
        <v>2025</v>
      </c>
      <c r="B513" s="10" t="s">
        <v>145</v>
      </c>
      <c r="C513" s="10" t="s">
        <v>619</v>
      </c>
      <c r="D513" s="11" t="n">
        <v>302679</v>
      </c>
      <c r="E513" s="11" t="n">
        <v>214469</v>
      </c>
      <c r="F513" s="12" t="n">
        <v>128060</v>
      </c>
      <c r="G513" s="12" t="n">
        <v>780000</v>
      </c>
      <c r="H513" s="12" t="n">
        <v>1.3</v>
      </c>
      <c r="I513" s="12" t="n">
        <v>14650</v>
      </c>
      <c r="J513" s="10" t="s">
        <v>408</v>
      </c>
    </row>
    <row r="514" customFormat="false" ht="14.25" hidden="false" customHeight="true" outlineLevel="0" collapsed="false">
      <c r="A514" s="10" t="n">
        <v>2025</v>
      </c>
      <c r="B514" s="10" t="s">
        <v>145</v>
      </c>
      <c r="C514" s="10" t="s">
        <v>620</v>
      </c>
      <c r="D514" s="11" t="n">
        <v>347005</v>
      </c>
      <c r="E514" s="11" t="n">
        <v>288464</v>
      </c>
      <c r="F514" s="12" t="n">
        <v>129171.51</v>
      </c>
      <c r="G514" s="12" t="n">
        <v>780000</v>
      </c>
      <c r="H514" s="12" t="n">
        <v>1.3</v>
      </c>
      <c r="I514" s="12" t="n">
        <v>14700</v>
      </c>
      <c r="J514" s="10" t="s">
        <v>408</v>
      </c>
    </row>
    <row r="515" customFormat="false" ht="14.25" hidden="false" customHeight="true" outlineLevel="0" collapsed="false">
      <c r="A515" s="10" t="n">
        <v>2025</v>
      </c>
      <c r="B515" s="10" t="s">
        <v>150</v>
      </c>
      <c r="C515" s="10" t="s">
        <v>621</v>
      </c>
      <c r="D515" s="11" t="n">
        <v>540267</v>
      </c>
      <c r="E515" s="11" t="n">
        <v>463909</v>
      </c>
      <c r="F515" s="12" t="n">
        <v>122493.58</v>
      </c>
      <c r="G515" s="12" t="n">
        <v>770000</v>
      </c>
      <c r="H515" s="12" t="n">
        <v>1.1</v>
      </c>
      <c r="I515" s="12" t="n">
        <v>14750</v>
      </c>
      <c r="J515" s="10" t="s">
        <v>319</v>
      </c>
    </row>
    <row r="516" customFormat="false" ht="14.25" hidden="false" customHeight="true" outlineLevel="0" collapsed="false">
      <c r="A516" s="10" t="n">
        <v>2025</v>
      </c>
      <c r="B516" s="10" t="s">
        <v>150</v>
      </c>
      <c r="C516" s="10" t="s">
        <v>622</v>
      </c>
      <c r="D516" s="11" t="n">
        <v>274450</v>
      </c>
      <c r="E516" s="11" t="n">
        <v>52106</v>
      </c>
      <c r="F516" s="12" t="n">
        <v>122336.35</v>
      </c>
      <c r="G516" s="12" t="n">
        <v>770000</v>
      </c>
      <c r="H516" s="12" t="n">
        <v>1.1</v>
      </c>
      <c r="I516" s="12" t="n">
        <v>14800</v>
      </c>
      <c r="J516" s="10" t="s">
        <v>319</v>
      </c>
    </row>
    <row r="517" customFormat="false" ht="14.25" hidden="false" customHeight="true" outlineLevel="0" collapsed="false">
      <c r="A517" s="10" t="n">
        <v>2025</v>
      </c>
      <c r="B517" s="10" t="s">
        <v>150</v>
      </c>
      <c r="C517" s="10" t="s">
        <v>623</v>
      </c>
      <c r="D517" s="11" t="n">
        <v>449836</v>
      </c>
      <c r="E517" s="11" t="n">
        <v>283283</v>
      </c>
      <c r="F517" s="12" t="n">
        <v>108778.1</v>
      </c>
      <c r="G517" s="12" t="n">
        <v>770000</v>
      </c>
      <c r="H517" s="12" t="n">
        <v>1.1</v>
      </c>
      <c r="I517" s="12" t="n">
        <v>14850</v>
      </c>
      <c r="J517" s="10" t="s">
        <v>319</v>
      </c>
    </row>
    <row r="518" customFormat="false" ht="14.25" hidden="false" customHeight="true" outlineLevel="0" collapsed="false">
      <c r="A518" s="10" t="n">
        <v>2025</v>
      </c>
      <c r="B518" s="10" t="s">
        <v>150</v>
      </c>
      <c r="C518" s="10" t="s">
        <v>624</v>
      </c>
      <c r="D518" s="11" t="n">
        <v>508003</v>
      </c>
      <c r="E518" s="11" t="n">
        <v>334453</v>
      </c>
      <c r="F518" s="12" t="n">
        <v>108996.05</v>
      </c>
      <c r="G518" s="12" t="n">
        <v>770000</v>
      </c>
      <c r="H518" s="12" t="n">
        <v>1.1</v>
      </c>
      <c r="I518" s="12" t="n">
        <v>14900</v>
      </c>
      <c r="J518" s="10" t="s">
        <v>319</v>
      </c>
    </row>
    <row r="519" customFormat="false" ht="14.25" hidden="false" customHeight="true" outlineLevel="0" collapsed="false">
      <c r="A519" s="10" t="n">
        <v>2025</v>
      </c>
      <c r="B519" s="10" t="s">
        <v>156</v>
      </c>
      <c r="C519" s="10" t="s">
        <v>625</v>
      </c>
      <c r="D519" s="11" t="n">
        <v>278887</v>
      </c>
      <c r="E519" s="11" t="n">
        <v>174894</v>
      </c>
      <c r="F519" s="12" t="n">
        <v>114559.44</v>
      </c>
      <c r="G519" s="12" t="n">
        <v>765000</v>
      </c>
      <c r="H519" s="12" t="n">
        <v>1</v>
      </c>
      <c r="I519" s="12" t="n">
        <v>14950</v>
      </c>
      <c r="J519" s="10" t="s">
        <v>319</v>
      </c>
    </row>
    <row r="520" customFormat="false" ht="14.25" hidden="false" customHeight="true" outlineLevel="0" collapsed="false">
      <c r="A520" s="10" t="n">
        <v>2025</v>
      </c>
      <c r="B520" s="10" t="s">
        <v>156</v>
      </c>
      <c r="C520" s="10" t="s">
        <v>626</v>
      </c>
      <c r="D520" s="11" t="n">
        <v>409302</v>
      </c>
      <c r="E520" s="11" t="n">
        <v>278343</v>
      </c>
      <c r="F520" s="12" t="n">
        <v>112740.72</v>
      </c>
      <c r="G520" s="12" t="n">
        <v>765000</v>
      </c>
      <c r="H520" s="12" t="n">
        <v>1</v>
      </c>
      <c r="I520" s="12" t="n">
        <v>15000</v>
      </c>
      <c r="J520" s="10" t="s">
        <v>319</v>
      </c>
    </row>
    <row r="521" customFormat="false" ht="14.25" hidden="false" customHeight="true" outlineLevel="0" collapsed="false">
      <c r="A521" s="10" t="n">
        <v>2025</v>
      </c>
      <c r="B521" s="10" t="s">
        <v>156</v>
      </c>
      <c r="C521" s="10" t="s">
        <v>627</v>
      </c>
      <c r="D521" s="11" t="n">
        <v>303207</v>
      </c>
      <c r="E521" s="11" t="n">
        <v>207110</v>
      </c>
      <c r="F521" s="12" t="n">
        <v>118723</v>
      </c>
      <c r="G521" s="12" t="n">
        <v>765000</v>
      </c>
      <c r="H521" s="12" t="n">
        <v>1</v>
      </c>
      <c r="I521" s="12" t="n">
        <v>15050</v>
      </c>
      <c r="J521" s="10" t="s">
        <v>319</v>
      </c>
    </row>
    <row r="522" customFormat="false" ht="14.25" hidden="false" customHeight="true" outlineLevel="0" collapsed="false">
      <c r="A522" s="13" t="s">
        <v>628</v>
      </c>
      <c r="D522" s="14" t="n">
        <f aca="false">AVERAGE(D5:D521)</f>
        <v>1051513.29980658</v>
      </c>
      <c r="E522" s="14" t="n">
        <f aca="false">AVERAGE(E5:E521)</f>
        <v>673604.210831721</v>
      </c>
      <c r="F522" s="14" t="n">
        <f aca="false">AVERAGE(F5:F521)</f>
        <v>56376.463384913</v>
      </c>
      <c r="G522" s="14" t="n">
        <f aca="false">AVERAGE(G5:G521)</f>
        <v>514884.4155706</v>
      </c>
      <c r="H522" s="14" t="n">
        <f aca="false">AVERAGE(H5:H521)</f>
        <v>9.53094777562863</v>
      </c>
      <c r="I522" s="14" t="n">
        <f aca="false">AVERAGE(I5:I521)</f>
        <v>30268.496043617</v>
      </c>
    </row>
    <row r="523" customFormat="false" ht="14.25" hidden="false" customHeight="true" outlineLevel="0" collapsed="false">
      <c r="A523" s="1" t="s">
        <v>629</v>
      </c>
    </row>
    <row r="524" customFormat="false" ht="14.25" hidden="false" customHeight="true" outlineLevel="0" collapsed="false"/>
    <row r="525" customFormat="false" ht="252.75" hidden="false" customHeight="true" outlineLevel="0" collapsed="false"/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2" activeCellId="0" sqref="L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30" hidden="false" customHeight="true" outlineLevel="0" collapsed="false">
      <c r="A1" s="2" t="s">
        <v>630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631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6.25" hidden="false" customHeight="true" outlineLevel="0" collapsed="false">
      <c r="A4" s="4" t="s">
        <v>86</v>
      </c>
      <c r="B4" s="4" t="s">
        <v>87</v>
      </c>
      <c r="C4" s="4" t="s">
        <v>91</v>
      </c>
      <c r="D4" s="4" t="s">
        <v>632</v>
      </c>
      <c r="E4" s="4" t="s">
        <v>633</v>
      </c>
      <c r="F4" s="4" t="s">
        <v>634</v>
      </c>
      <c r="G4" s="4" t="s">
        <v>92</v>
      </c>
      <c r="H4" s="4" t="s">
        <v>635</v>
      </c>
      <c r="I4" s="4" t="s">
        <v>636</v>
      </c>
      <c r="J4" s="4" t="s">
        <v>95</v>
      </c>
    </row>
    <row r="5" customFormat="false" ht="14.25" hidden="false" customHeight="true" outlineLevel="0" collapsed="false">
      <c r="A5" s="7" t="n">
        <v>2015</v>
      </c>
      <c r="B5" s="7" t="s">
        <v>96</v>
      </c>
      <c r="C5" s="9" t="n">
        <v>41150</v>
      </c>
      <c r="D5" s="9" t="n">
        <f aca="false">C5/1000</f>
        <v>41.15</v>
      </c>
      <c r="E5" s="8" t="n">
        <v>2500000</v>
      </c>
      <c r="F5" s="8" t="n">
        <v>1900000</v>
      </c>
      <c r="G5" s="9" t="n">
        <v>228890</v>
      </c>
      <c r="H5" s="7" t="n">
        <v>2.8</v>
      </c>
      <c r="I5" s="7" t="s">
        <v>637</v>
      </c>
      <c r="J5" s="7" t="s">
        <v>98</v>
      </c>
    </row>
    <row r="6" customFormat="false" ht="14.25" hidden="false" customHeight="true" outlineLevel="0" collapsed="false">
      <c r="A6" s="10" t="n">
        <v>2015</v>
      </c>
      <c r="B6" s="10" t="s">
        <v>102</v>
      </c>
      <c r="C6" s="12" t="n">
        <v>40000</v>
      </c>
      <c r="D6" s="9" t="n">
        <f aca="false">C6/1000</f>
        <v>40</v>
      </c>
      <c r="E6" s="11" t="n">
        <v>2522895</v>
      </c>
      <c r="F6" s="11" t="n">
        <v>2010683</v>
      </c>
      <c r="G6" s="12" t="n">
        <v>227760</v>
      </c>
      <c r="H6" s="10" t="n">
        <v>0.1</v>
      </c>
      <c r="I6" s="10" t="s">
        <v>637</v>
      </c>
      <c r="J6" s="10" t="s">
        <v>98</v>
      </c>
    </row>
    <row r="7" customFormat="false" ht="14.25" hidden="false" customHeight="true" outlineLevel="0" collapsed="false">
      <c r="A7" s="7" t="n">
        <v>2015</v>
      </c>
      <c r="B7" s="7" t="s">
        <v>107</v>
      </c>
      <c r="C7" s="9" t="n">
        <v>41600</v>
      </c>
      <c r="D7" s="9" t="n">
        <f aca="false">C7/1000</f>
        <v>41.6</v>
      </c>
      <c r="E7" s="8" t="n">
        <v>3356386</v>
      </c>
      <c r="F7" s="8" t="n">
        <v>2897614</v>
      </c>
      <c r="G7" s="9" t="n">
        <v>229160</v>
      </c>
      <c r="H7" s="7" t="n">
        <v>-0.4</v>
      </c>
      <c r="I7" s="7" t="s">
        <v>637</v>
      </c>
      <c r="J7" s="7" t="s">
        <v>98</v>
      </c>
    </row>
    <row r="8" customFormat="false" ht="14.25" hidden="false" customHeight="true" outlineLevel="0" collapsed="false">
      <c r="A8" s="10" t="n">
        <v>2015</v>
      </c>
      <c r="B8" s="10" t="s">
        <v>113</v>
      </c>
      <c r="C8" s="12" t="n">
        <v>39550</v>
      </c>
      <c r="D8" s="9" t="n">
        <f aca="false">C8/1000</f>
        <v>39.55</v>
      </c>
      <c r="E8" s="11" t="n">
        <v>3700000</v>
      </c>
      <c r="F8" s="11" t="n">
        <v>2700000</v>
      </c>
      <c r="G8" s="12" t="n">
        <v>232090</v>
      </c>
      <c r="H8" s="10" t="n">
        <v>0.5</v>
      </c>
      <c r="I8" s="10" t="s">
        <v>637</v>
      </c>
      <c r="J8" s="10" t="s">
        <v>98</v>
      </c>
    </row>
    <row r="9" customFormat="false" ht="14.25" hidden="false" customHeight="true" outlineLevel="0" collapsed="false">
      <c r="A9" s="7" t="n">
        <v>2015</v>
      </c>
      <c r="B9" s="7" t="s">
        <v>118</v>
      </c>
      <c r="C9" s="9" t="n">
        <v>34925</v>
      </c>
      <c r="D9" s="9" t="n">
        <f aca="false">C9/1000</f>
        <v>34.925</v>
      </c>
      <c r="E9" s="8" t="n">
        <v>3452702</v>
      </c>
      <c r="F9" s="8" t="n">
        <v>3043830</v>
      </c>
      <c r="G9" s="9" t="n">
        <v>229730</v>
      </c>
      <c r="H9" s="7" t="n">
        <v>0.7</v>
      </c>
      <c r="I9" s="7" t="s">
        <v>637</v>
      </c>
      <c r="J9" s="7" t="s">
        <v>98</v>
      </c>
    </row>
    <row r="10" customFormat="false" ht="14.25" hidden="false" customHeight="true" outlineLevel="0" collapsed="false">
      <c r="A10" s="10" t="n">
        <v>2015</v>
      </c>
      <c r="B10" s="10" t="s">
        <v>123</v>
      </c>
      <c r="C10" s="12" t="n">
        <v>30340</v>
      </c>
      <c r="D10" s="9" t="n">
        <f aca="false">C10/1000</f>
        <v>30.34</v>
      </c>
      <c r="E10" s="11" t="n">
        <v>4415132</v>
      </c>
      <c r="F10" s="11" t="n">
        <v>3818134</v>
      </c>
      <c r="G10" s="12" t="n">
        <v>227500</v>
      </c>
      <c r="H10" s="10" t="n">
        <v>0.8</v>
      </c>
      <c r="I10" s="10" t="s">
        <v>637</v>
      </c>
      <c r="J10" s="10" t="s">
        <v>98</v>
      </c>
    </row>
    <row r="11" customFormat="false" ht="14.25" hidden="false" customHeight="true" outlineLevel="0" collapsed="false">
      <c r="A11" s="7" t="n">
        <v>2015</v>
      </c>
      <c r="B11" s="7" t="s">
        <v>129</v>
      </c>
      <c r="C11" s="9" t="n">
        <v>29950</v>
      </c>
      <c r="D11" s="9" t="n">
        <f aca="false">C11/1000</f>
        <v>29.95</v>
      </c>
      <c r="E11" s="8" t="n">
        <v>4035122</v>
      </c>
      <c r="F11" s="8" t="n">
        <v>3902165</v>
      </c>
      <c r="G11" s="9" t="n">
        <v>219857.14</v>
      </c>
      <c r="H11" s="7" t="n">
        <v>0.8</v>
      </c>
      <c r="I11" s="7" t="s">
        <v>637</v>
      </c>
      <c r="J11" s="7" t="s">
        <v>98</v>
      </c>
    </row>
    <row r="12" customFormat="false" ht="14.25" hidden="false" customHeight="true" outlineLevel="0" collapsed="false">
      <c r="A12" s="10" t="n">
        <v>2015</v>
      </c>
      <c r="B12" s="10" t="s">
        <v>134</v>
      </c>
      <c r="C12" s="12" t="n">
        <v>30980</v>
      </c>
      <c r="D12" s="9" t="n">
        <f aca="false">C12/1000</f>
        <v>30.98</v>
      </c>
      <c r="E12" s="11" t="n">
        <v>6067398</v>
      </c>
      <c r="F12" s="11" t="n">
        <v>4774902</v>
      </c>
      <c r="G12" s="12" t="n">
        <v>214842.1</v>
      </c>
      <c r="H12" s="10" t="n">
        <v>0.4</v>
      </c>
      <c r="I12" s="10" t="s">
        <v>637</v>
      </c>
      <c r="J12" s="10" t="s">
        <v>98</v>
      </c>
    </row>
    <row r="13" customFormat="false" ht="14.25" hidden="false" customHeight="true" outlineLevel="0" collapsed="false">
      <c r="A13" s="7" t="n">
        <v>2015</v>
      </c>
      <c r="B13" s="7" t="s">
        <v>140</v>
      </c>
      <c r="C13" s="9" t="n">
        <v>29375</v>
      </c>
      <c r="D13" s="9" t="n">
        <f aca="false">C13/1000</f>
        <v>29.375</v>
      </c>
      <c r="E13" s="8" t="n">
        <v>4853970</v>
      </c>
      <c r="F13" s="8" t="n">
        <v>3789733</v>
      </c>
      <c r="G13" s="9" t="n">
        <v>214404.76</v>
      </c>
      <c r="H13" s="7" t="n">
        <v>-0.3</v>
      </c>
      <c r="I13" s="7" t="s">
        <v>637</v>
      </c>
      <c r="J13" s="7" t="s">
        <v>98</v>
      </c>
    </row>
    <row r="14" customFormat="false" ht="14.25" hidden="false" customHeight="true" outlineLevel="0" collapsed="false">
      <c r="A14" s="10" t="n">
        <v>2015</v>
      </c>
      <c r="B14" s="10" t="s">
        <v>145</v>
      </c>
      <c r="C14" s="12" t="n">
        <v>27175</v>
      </c>
      <c r="D14" s="9" t="n">
        <f aca="false">C14/1000</f>
        <v>27.175</v>
      </c>
      <c r="E14" s="11" t="n">
        <v>4966954</v>
      </c>
      <c r="F14" s="11" t="n">
        <v>3604054</v>
      </c>
      <c r="G14" s="12" t="n">
        <v>227380.95</v>
      </c>
      <c r="H14" s="10" t="n">
        <v>-0.8</v>
      </c>
      <c r="I14" s="10" t="s">
        <v>637</v>
      </c>
      <c r="J14" s="10" t="s">
        <v>98</v>
      </c>
    </row>
    <row r="15" customFormat="false" ht="14.25" hidden="false" customHeight="true" outlineLevel="0" collapsed="false">
      <c r="A15" s="7" t="n">
        <v>2015</v>
      </c>
      <c r="B15" s="7" t="s">
        <v>150</v>
      </c>
      <c r="C15" s="9" t="n">
        <v>30240</v>
      </c>
      <c r="D15" s="9" t="n">
        <f aca="false">C15/1000</f>
        <v>30.24</v>
      </c>
      <c r="E15" s="8" t="n">
        <v>5060869</v>
      </c>
      <c r="F15" s="8" t="n">
        <v>4088288</v>
      </c>
      <c r="G15" s="9" t="n">
        <v>228184.21</v>
      </c>
      <c r="H15" s="7" t="n">
        <v>-1.1</v>
      </c>
      <c r="I15" s="7" t="s">
        <v>637</v>
      </c>
      <c r="J15" s="7" t="s">
        <v>98</v>
      </c>
    </row>
    <row r="16" customFormat="false" ht="14.25" hidden="false" customHeight="true" outlineLevel="0" collapsed="false">
      <c r="A16" s="10" t="n">
        <v>2015</v>
      </c>
      <c r="B16" s="10" t="s">
        <v>156</v>
      </c>
      <c r="C16" s="12" t="n">
        <v>28500</v>
      </c>
      <c r="D16" s="9" t="n">
        <f aca="false">C16/1000</f>
        <v>28.5</v>
      </c>
      <c r="E16" s="11" t="n">
        <v>2507503</v>
      </c>
      <c r="F16" s="11" t="n">
        <v>1774506</v>
      </c>
      <c r="G16" s="12" t="n">
        <v>227785.71</v>
      </c>
      <c r="H16" s="10" t="n">
        <v>2.8</v>
      </c>
      <c r="I16" s="10" t="s">
        <v>637</v>
      </c>
      <c r="J16" s="10" t="s">
        <v>98</v>
      </c>
    </row>
    <row r="17" customFormat="false" ht="14.25" hidden="false" customHeight="true" outlineLevel="0" collapsed="false">
      <c r="A17" s="7" t="n">
        <v>2016</v>
      </c>
      <c r="B17" s="7" t="s">
        <v>96</v>
      </c>
      <c r="C17" s="9" t="n">
        <v>32125</v>
      </c>
      <c r="D17" s="9" t="n">
        <f aca="false">C17/1000</f>
        <v>32.125</v>
      </c>
      <c r="E17" s="8" t="n">
        <v>2558004</v>
      </c>
      <c r="F17" s="8" t="n">
        <v>2290181</v>
      </c>
      <c r="G17" s="9" t="n">
        <v>226184.21</v>
      </c>
      <c r="H17" s="7" t="n">
        <v>2.1</v>
      </c>
      <c r="I17" s="7" t="n">
        <v>-21.9</v>
      </c>
      <c r="J17" s="7" t="s">
        <v>98</v>
      </c>
    </row>
    <row r="18" customFormat="false" ht="14.25" hidden="false" customHeight="true" outlineLevel="0" collapsed="false">
      <c r="A18" s="10" t="n">
        <v>2016</v>
      </c>
      <c r="B18" s="10" t="s">
        <v>102</v>
      </c>
      <c r="C18" s="12" t="n">
        <v>29750</v>
      </c>
      <c r="D18" s="9" t="n">
        <f aca="false">C18/1000</f>
        <v>29.75</v>
      </c>
      <c r="E18" s="11" t="n">
        <v>4050000</v>
      </c>
      <c r="F18" s="11" t="n">
        <v>2600000</v>
      </c>
      <c r="G18" s="12" t="n">
        <v>229210.52</v>
      </c>
      <c r="H18" s="10" t="n">
        <v>2.1</v>
      </c>
      <c r="I18" s="10" t="n">
        <v>-25.6</v>
      </c>
      <c r="J18" s="10" t="s">
        <v>98</v>
      </c>
    </row>
    <row r="19" customFormat="false" ht="14.25" hidden="false" customHeight="true" outlineLevel="0" collapsed="false">
      <c r="A19" s="7" t="n">
        <v>2016</v>
      </c>
      <c r="B19" s="7" t="s">
        <v>107</v>
      </c>
      <c r="C19" s="9" t="n">
        <v>30500</v>
      </c>
      <c r="D19" s="9" t="n">
        <f aca="false">C19/1000</f>
        <v>30.5</v>
      </c>
      <c r="E19" s="8" t="n">
        <v>4895187</v>
      </c>
      <c r="F19" s="8" t="n">
        <v>4250705</v>
      </c>
      <c r="G19" s="9" t="n">
        <v>234425</v>
      </c>
      <c r="H19" s="7" t="n">
        <v>3</v>
      </c>
      <c r="I19" s="7" t="n">
        <v>-26.7</v>
      </c>
      <c r="J19" s="7" t="s">
        <v>98</v>
      </c>
    </row>
    <row r="20" customFormat="false" ht="14.25" hidden="false" customHeight="true" outlineLevel="0" collapsed="false">
      <c r="A20" s="10" t="n">
        <v>2016</v>
      </c>
      <c r="B20" s="10" t="s">
        <v>113</v>
      </c>
      <c r="C20" s="12" t="n">
        <v>26125</v>
      </c>
      <c r="D20" s="9" t="n">
        <f aca="false">C20/1000</f>
        <v>26.125</v>
      </c>
      <c r="E20" s="11" t="n">
        <v>6300000</v>
      </c>
      <c r="F20" s="11" t="n">
        <v>3900000</v>
      </c>
      <c r="G20" s="12" t="n">
        <v>244852.94</v>
      </c>
      <c r="H20" s="10" t="n">
        <v>3.5</v>
      </c>
      <c r="I20" s="10" t="n">
        <v>-33.9</v>
      </c>
      <c r="J20" s="10" t="s">
        <v>98</v>
      </c>
    </row>
    <row r="21" customFormat="false" ht="14.25" hidden="false" customHeight="true" outlineLevel="0" collapsed="false">
      <c r="A21" s="7" t="n">
        <v>2016</v>
      </c>
      <c r="B21" s="7" t="s">
        <v>118</v>
      </c>
      <c r="C21" s="9" t="n">
        <v>24140</v>
      </c>
      <c r="D21" s="9" t="n">
        <f aca="false">C21/1000</f>
        <v>24.14</v>
      </c>
      <c r="E21" s="8" t="n">
        <v>6944893</v>
      </c>
      <c r="F21" s="8" t="n">
        <v>4403400</v>
      </c>
      <c r="G21" s="9" t="n">
        <v>260340.9</v>
      </c>
      <c r="H21" s="7" t="n">
        <v>4.2</v>
      </c>
      <c r="I21" s="7" t="n">
        <v>-30.9</v>
      </c>
      <c r="J21" s="7" t="s">
        <v>98</v>
      </c>
    </row>
    <row r="22" customFormat="false" ht="14.25" hidden="false" customHeight="true" outlineLevel="0" collapsed="false">
      <c r="A22" s="10" t="n">
        <v>2016</v>
      </c>
      <c r="B22" s="10" t="s">
        <v>123</v>
      </c>
      <c r="C22" s="12" t="n">
        <v>22125</v>
      </c>
      <c r="D22" s="9" t="n">
        <f aca="false">C22/1000</f>
        <v>22.125</v>
      </c>
      <c r="E22" s="11" t="n">
        <v>7600000</v>
      </c>
      <c r="F22" s="11" t="n">
        <v>3700000</v>
      </c>
      <c r="G22" s="12" t="n">
        <v>273522.73</v>
      </c>
      <c r="H22" s="10" t="n">
        <v>4.6</v>
      </c>
      <c r="I22" s="10" t="n">
        <v>-27.1</v>
      </c>
      <c r="J22" s="10" t="s">
        <v>98</v>
      </c>
    </row>
    <row r="23" customFormat="false" ht="14.25" hidden="false" customHeight="true" outlineLevel="0" collapsed="false">
      <c r="A23" s="7" t="n">
        <v>2016</v>
      </c>
      <c r="B23" s="7" t="s">
        <v>129</v>
      </c>
      <c r="C23" s="9" t="n">
        <v>23200</v>
      </c>
      <c r="D23" s="9" t="n">
        <f aca="false">C23/1000</f>
        <v>23.2</v>
      </c>
      <c r="E23" s="8" t="n">
        <v>7588555</v>
      </c>
      <c r="F23" s="8" t="n">
        <v>3894440</v>
      </c>
      <c r="G23" s="9" t="n">
        <v>281184.21</v>
      </c>
      <c r="H23" s="7" t="n">
        <v>4.6</v>
      </c>
      <c r="I23" s="7" t="n">
        <v>-22.5</v>
      </c>
      <c r="J23" s="7" t="s">
        <v>98</v>
      </c>
    </row>
    <row r="24" customFormat="false" ht="14.25" hidden="false" customHeight="true" outlineLevel="0" collapsed="false">
      <c r="A24" s="10" t="n">
        <v>2016</v>
      </c>
      <c r="B24" s="10" t="s">
        <v>134</v>
      </c>
      <c r="C24" s="12" t="n">
        <v>23300</v>
      </c>
      <c r="D24" s="9" t="n">
        <f aca="false">C24/1000</f>
        <v>23.3</v>
      </c>
      <c r="E24" s="11" t="n">
        <v>10320159</v>
      </c>
      <c r="F24" s="11" t="n">
        <v>5993977</v>
      </c>
      <c r="G24" s="12" t="n">
        <v>277045.45</v>
      </c>
      <c r="H24" s="10" t="n">
        <v>4</v>
      </c>
      <c r="I24" s="10" t="n">
        <v>-24.8</v>
      </c>
      <c r="J24" s="10" t="s">
        <v>98</v>
      </c>
    </row>
    <row r="25" customFormat="false" ht="14.25" hidden="false" customHeight="true" outlineLevel="0" collapsed="false">
      <c r="A25" s="7" t="n">
        <v>2016</v>
      </c>
      <c r="B25" s="7" t="s">
        <v>140</v>
      </c>
      <c r="C25" s="9" t="n">
        <v>22675</v>
      </c>
      <c r="D25" s="9" t="n">
        <f aca="false">C25/1000</f>
        <v>22.675</v>
      </c>
      <c r="E25" s="8" t="n">
        <v>7288387</v>
      </c>
      <c r="F25" s="8" t="n">
        <v>4851852</v>
      </c>
      <c r="G25" s="9" t="n">
        <v>283205</v>
      </c>
      <c r="H25" s="7" t="n">
        <v>4.1</v>
      </c>
      <c r="I25" s="7" t="n">
        <v>-22.8</v>
      </c>
      <c r="J25" s="7" t="s">
        <v>98</v>
      </c>
    </row>
    <row r="26" customFormat="false" ht="14.25" hidden="false" customHeight="true" outlineLevel="0" collapsed="false">
      <c r="A26" s="10" t="n">
        <v>2016</v>
      </c>
      <c r="B26" s="10" t="s">
        <v>145</v>
      </c>
      <c r="C26" s="12" t="n">
        <v>28200</v>
      </c>
      <c r="D26" s="9" t="n">
        <f aca="false">C26/1000</f>
        <v>28.2</v>
      </c>
      <c r="E26" s="11" t="n">
        <v>7641878</v>
      </c>
      <c r="F26" s="11" t="n">
        <v>7449692</v>
      </c>
      <c r="G26" s="12" t="n">
        <v>289523.8</v>
      </c>
      <c r="H26" s="10" t="n">
        <v>4.2</v>
      </c>
      <c r="I26" s="10" t="n">
        <v>3.8</v>
      </c>
      <c r="J26" s="10" t="s">
        <v>98</v>
      </c>
    </row>
    <row r="27" customFormat="false" ht="14.25" hidden="false" customHeight="true" outlineLevel="0" collapsed="false">
      <c r="A27" s="7" t="n">
        <v>2016</v>
      </c>
      <c r="B27" s="7" t="s">
        <v>150</v>
      </c>
      <c r="C27" s="9" t="n">
        <v>30975</v>
      </c>
      <c r="D27" s="9" t="n">
        <f aca="false">C27/1000</f>
        <v>30.975</v>
      </c>
      <c r="E27" s="8" t="n">
        <v>4668196</v>
      </c>
      <c r="F27" s="8" t="n">
        <v>3783851</v>
      </c>
      <c r="G27" s="9" t="n">
        <v>272309.52</v>
      </c>
      <c r="H27" s="7" t="n">
        <v>4.1</v>
      </c>
      <c r="I27" s="7" t="n">
        <v>2.4</v>
      </c>
      <c r="J27" s="7" t="s">
        <v>98</v>
      </c>
    </row>
    <row r="28" customFormat="false" ht="14.25" hidden="false" customHeight="true" outlineLevel="0" collapsed="false">
      <c r="A28" s="10" t="n">
        <v>2016</v>
      </c>
      <c r="B28" s="10" t="s">
        <v>156</v>
      </c>
      <c r="C28" s="12" t="n">
        <v>31850</v>
      </c>
      <c r="D28" s="9" t="n">
        <f aca="false">C28/1000</f>
        <v>31.85</v>
      </c>
      <c r="E28" s="11" t="n">
        <v>4888289</v>
      </c>
      <c r="F28" s="11" t="n">
        <v>3818295</v>
      </c>
      <c r="G28" s="12" t="n">
        <v>286375</v>
      </c>
      <c r="H28" s="10" t="n">
        <v>4.2</v>
      </c>
      <c r="I28" s="10" t="n">
        <v>11.8</v>
      </c>
      <c r="J28" s="10" t="s">
        <v>98</v>
      </c>
    </row>
    <row r="29" customFormat="false" ht="14.25" hidden="false" customHeight="true" outlineLevel="0" collapsed="false">
      <c r="A29" s="7" t="n">
        <v>2017</v>
      </c>
      <c r="B29" s="7" t="s">
        <v>96</v>
      </c>
      <c r="C29" s="9" t="n">
        <v>36760</v>
      </c>
      <c r="D29" s="9" t="n">
        <f aca="false">C29/1000</f>
        <v>36.76</v>
      </c>
      <c r="E29" s="8" t="n">
        <v>11193806</v>
      </c>
      <c r="F29" s="8" t="n">
        <v>3642544</v>
      </c>
      <c r="G29" s="9" t="n">
        <v>317380.95</v>
      </c>
      <c r="H29" s="7" t="n">
        <v>5.5</v>
      </c>
      <c r="I29" s="7" t="n">
        <v>14.4</v>
      </c>
      <c r="J29" s="7" t="s">
        <v>98</v>
      </c>
    </row>
    <row r="30" customFormat="false" ht="14.25" hidden="false" customHeight="true" outlineLevel="0" collapsed="false">
      <c r="A30" s="10" t="n">
        <v>2017</v>
      </c>
      <c r="B30" s="10" t="s">
        <v>102</v>
      </c>
      <c r="C30" s="12" t="n">
        <v>38625</v>
      </c>
      <c r="D30" s="9" t="n">
        <f aca="false">C30/1000</f>
        <v>38.625</v>
      </c>
      <c r="E30" s="11" t="n">
        <v>2769546</v>
      </c>
      <c r="F30" s="11" t="n">
        <v>2435112</v>
      </c>
      <c r="G30" s="12" t="n">
        <v>307500</v>
      </c>
      <c r="H30" s="10" t="n">
        <v>6</v>
      </c>
      <c r="I30" s="10" t="n">
        <v>29.8</v>
      </c>
      <c r="J30" s="10" t="s">
        <v>98</v>
      </c>
    </row>
    <row r="31" customFormat="false" ht="14.25" hidden="false" customHeight="true" outlineLevel="0" collapsed="false">
      <c r="A31" s="7" t="n">
        <v>2017</v>
      </c>
      <c r="B31" s="7" t="s">
        <v>107</v>
      </c>
      <c r="C31" s="9" t="n">
        <v>42500</v>
      </c>
      <c r="D31" s="9" t="n">
        <f aca="false">C31/1000</f>
        <v>42.5</v>
      </c>
      <c r="E31" s="8" t="n">
        <v>2927582</v>
      </c>
      <c r="F31" s="8" t="n">
        <v>2894471</v>
      </c>
      <c r="G31" s="9" t="n">
        <v>291521.73</v>
      </c>
      <c r="H31" s="7" t="n">
        <v>6.2</v>
      </c>
      <c r="I31" s="7" t="n">
        <v>39.3</v>
      </c>
      <c r="J31" s="7" t="s">
        <v>98</v>
      </c>
    </row>
    <row r="32" customFormat="false" ht="14.25" hidden="false" customHeight="true" outlineLevel="0" collapsed="false">
      <c r="A32" s="10" t="n">
        <v>2017</v>
      </c>
      <c r="B32" s="10" t="s">
        <v>113</v>
      </c>
      <c r="C32" s="12" t="n">
        <v>43050</v>
      </c>
      <c r="D32" s="9" t="n">
        <f aca="false">C32/1000</f>
        <v>43.05</v>
      </c>
      <c r="E32" s="11" t="n">
        <v>3587145</v>
      </c>
      <c r="F32" s="11" t="n">
        <v>3353498</v>
      </c>
      <c r="G32" s="12" t="n">
        <v>282916</v>
      </c>
      <c r="H32" s="10" t="n">
        <v>6.4</v>
      </c>
      <c r="I32" s="10" t="n">
        <v>64.8</v>
      </c>
      <c r="J32" s="10" t="s">
        <v>98</v>
      </c>
    </row>
    <row r="33" customFormat="false" ht="14.25" hidden="false" customHeight="true" outlineLevel="0" collapsed="false">
      <c r="A33" s="7" t="n">
        <v>2017</v>
      </c>
      <c r="B33" s="7" t="s">
        <v>118</v>
      </c>
      <c r="C33" s="9" t="n">
        <v>44960</v>
      </c>
      <c r="D33" s="9" t="n">
        <f aca="false">C33/1000</f>
        <v>44.96</v>
      </c>
      <c r="E33" s="8" t="n">
        <v>3162022</v>
      </c>
      <c r="F33" s="8" t="n">
        <v>2935866</v>
      </c>
      <c r="G33" s="9" t="n">
        <v>260000</v>
      </c>
      <c r="H33" s="7" t="n">
        <v>6.7</v>
      </c>
      <c r="I33" s="7" t="n">
        <v>86.2</v>
      </c>
      <c r="J33" s="7" t="s">
        <v>98</v>
      </c>
    </row>
    <row r="34" customFormat="false" ht="14.25" hidden="false" customHeight="true" outlineLevel="0" collapsed="false">
      <c r="A34" s="10" t="n">
        <v>2017</v>
      </c>
      <c r="B34" s="10" t="s">
        <v>123</v>
      </c>
      <c r="C34" s="12" t="n">
        <v>44550</v>
      </c>
      <c r="D34" s="9" t="n">
        <f aca="false">C34/1000</f>
        <v>44.55</v>
      </c>
      <c r="E34" s="11" t="n">
        <v>3243307</v>
      </c>
      <c r="F34" s="11" t="n">
        <v>2543909</v>
      </c>
      <c r="G34" s="12" t="n">
        <v>271125</v>
      </c>
      <c r="H34" s="10" t="n">
        <v>6.8</v>
      </c>
      <c r="I34" s="10" t="n">
        <v>101.4</v>
      </c>
      <c r="J34" s="10" t="s">
        <v>98</v>
      </c>
    </row>
    <row r="35" customFormat="false" ht="14.25" hidden="false" customHeight="true" outlineLevel="0" collapsed="false">
      <c r="A35" s="7" t="n">
        <v>2017</v>
      </c>
      <c r="B35" s="7" t="s">
        <v>129</v>
      </c>
      <c r="C35" s="9" t="n">
        <v>38700</v>
      </c>
      <c r="D35" s="9" t="n">
        <f aca="false">C35/1000</f>
        <v>38.7</v>
      </c>
      <c r="E35" s="8" t="n">
        <v>8133072</v>
      </c>
      <c r="F35" s="8" t="n">
        <v>4703073</v>
      </c>
      <c r="G35" s="9" t="n">
        <v>265285.71</v>
      </c>
      <c r="H35" s="7" t="n">
        <v>7</v>
      </c>
      <c r="I35" s="7" t="n">
        <v>66.8</v>
      </c>
      <c r="J35" s="7" t="s">
        <v>98</v>
      </c>
    </row>
    <row r="36" customFormat="false" ht="14.25" hidden="false" customHeight="true" outlineLevel="0" collapsed="false">
      <c r="A36" s="10" t="n">
        <v>2017</v>
      </c>
      <c r="B36" s="10" t="s">
        <v>134</v>
      </c>
      <c r="C36" s="12" t="n">
        <v>42850</v>
      </c>
      <c r="D36" s="9" t="n">
        <f aca="false">C36/1000</f>
        <v>42.85</v>
      </c>
      <c r="E36" s="11" t="n">
        <v>2928380</v>
      </c>
      <c r="F36" s="11" t="n">
        <v>2665273</v>
      </c>
      <c r="G36" s="12" t="n">
        <v>267500</v>
      </c>
      <c r="H36" s="10" t="n">
        <v>7.2</v>
      </c>
      <c r="I36" s="10" t="n">
        <v>83.9</v>
      </c>
      <c r="J36" s="10" t="s">
        <v>98</v>
      </c>
    </row>
    <row r="37" customFormat="false" ht="14.25" hidden="false" customHeight="true" outlineLevel="0" collapsed="false">
      <c r="A37" s="7" t="n">
        <v>2017</v>
      </c>
      <c r="B37" s="7" t="s">
        <v>140</v>
      </c>
      <c r="C37" s="9" t="n">
        <v>48750</v>
      </c>
      <c r="D37" s="9" t="n">
        <f aca="false">C37/1000</f>
        <v>48.75</v>
      </c>
      <c r="E37" s="8" t="n">
        <v>4250000</v>
      </c>
      <c r="F37" s="8" t="n">
        <v>3050000</v>
      </c>
      <c r="G37" s="9" t="n">
        <v>268947</v>
      </c>
      <c r="H37" s="7" t="n">
        <v>7.6</v>
      </c>
      <c r="I37" s="7" t="n">
        <v>115</v>
      </c>
      <c r="J37" s="7" t="s">
        <v>98</v>
      </c>
    </row>
    <row r="38" customFormat="false" ht="14.25" hidden="false" customHeight="true" outlineLevel="0" collapsed="false">
      <c r="A38" s="10" t="n">
        <v>2017</v>
      </c>
      <c r="B38" s="10" t="s">
        <v>145</v>
      </c>
      <c r="C38" s="12" t="n">
        <v>51680</v>
      </c>
      <c r="D38" s="9" t="n">
        <f aca="false">C38/1000</f>
        <v>51.68</v>
      </c>
      <c r="E38" s="11" t="n">
        <v>3896135</v>
      </c>
      <c r="F38" s="11" t="n">
        <v>2701125</v>
      </c>
      <c r="G38" s="12" t="n">
        <v>265375</v>
      </c>
      <c r="H38" s="10" t="n">
        <v>7.8</v>
      </c>
      <c r="I38" s="10" t="n">
        <v>83.3</v>
      </c>
      <c r="J38" s="10" t="s">
        <v>98</v>
      </c>
    </row>
    <row r="39" customFormat="false" ht="14.25" hidden="false" customHeight="true" outlineLevel="0" collapsed="false">
      <c r="A39" s="7" t="n">
        <v>2017</v>
      </c>
      <c r="B39" s="7" t="s">
        <v>150</v>
      </c>
      <c r="C39" s="9" t="n">
        <v>53350</v>
      </c>
      <c r="D39" s="9" t="n">
        <f aca="false">C39/1000</f>
        <v>53.35</v>
      </c>
      <c r="E39" s="8" t="n">
        <v>1928798</v>
      </c>
      <c r="F39" s="8" t="n">
        <v>1565673</v>
      </c>
      <c r="G39" s="9" t="n">
        <v>256857</v>
      </c>
      <c r="H39" s="7" t="n">
        <v>8.4</v>
      </c>
      <c r="I39" s="7" t="n">
        <v>72.2</v>
      </c>
      <c r="J39" s="7" t="s">
        <v>98</v>
      </c>
    </row>
    <row r="40" customFormat="false" ht="14.25" hidden="false" customHeight="true" outlineLevel="0" collapsed="false">
      <c r="A40" s="10" t="n">
        <v>2017</v>
      </c>
      <c r="B40" s="10" t="s">
        <v>156</v>
      </c>
      <c r="C40" s="12" t="n">
        <v>67850</v>
      </c>
      <c r="D40" s="9" t="n">
        <f aca="false">C40/1000</f>
        <v>67.85</v>
      </c>
      <c r="E40" s="11" t="n">
        <v>1643465</v>
      </c>
      <c r="F40" s="11" t="n">
        <v>1287816</v>
      </c>
      <c r="G40" s="12" t="n">
        <v>252631.57</v>
      </c>
      <c r="H40" s="10" t="n">
        <v>8.8</v>
      </c>
      <c r="I40" s="10" t="n">
        <v>113</v>
      </c>
      <c r="J40" s="10" t="s">
        <v>98</v>
      </c>
    </row>
    <row r="41" customFormat="false" ht="14.25" hidden="false" customHeight="true" outlineLevel="0" collapsed="false">
      <c r="A41" s="7" t="n">
        <v>2018</v>
      </c>
      <c r="B41" s="7" t="s">
        <v>96</v>
      </c>
      <c r="C41" s="9" t="n">
        <v>66680</v>
      </c>
      <c r="D41" s="9" t="n">
        <f aca="false">C41/1000</f>
        <v>66.68</v>
      </c>
      <c r="E41" s="8" t="n">
        <v>1615207</v>
      </c>
      <c r="F41" s="8" t="n">
        <v>1018796</v>
      </c>
      <c r="G41" s="9" t="n">
        <v>334457</v>
      </c>
      <c r="H41" s="7" t="n">
        <v>7.6</v>
      </c>
      <c r="I41" s="7" t="n">
        <v>81.4</v>
      </c>
      <c r="J41" s="7" t="s">
        <v>98</v>
      </c>
    </row>
    <row r="42" customFormat="false" ht="14.25" hidden="false" customHeight="true" outlineLevel="0" collapsed="false">
      <c r="A42" s="10" t="n">
        <v>2018</v>
      </c>
      <c r="B42" s="10" t="s">
        <v>102</v>
      </c>
      <c r="C42" s="12" t="n">
        <v>63500</v>
      </c>
      <c r="D42" s="9" t="n">
        <f aca="false">C42/1000</f>
        <v>63.5</v>
      </c>
      <c r="E42" s="11" t="n">
        <v>2551336</v>
      </c>
      <c r="F42" s="11" t="n">
        <v>1728179</v>
      </c>
      <c r="G42" s="12" t="n">
        <v>336867</v>
      </c>
      <c r="H42" s="10" t="n">
        <v>5</v>
      </c>
      <c r="I42" s="10" t="n">
        <v>64.4</v>
      </c>
      <c r="J42" s="10" t="s">
        <v>98</v>
      </c>
    </row>
    <row r="43" customFormat="false" ht="14.25" hidden="false" customHeight="true" outlineLevel="0" collapsed="false">
      <c r="A43" s="7" t="n">
        <v>2018</v>
      </c>
      <c r="B43" s="7" t="s">
        <v>107</v>
      </c>
      <c r="C43" s="9" t="n">
        <v>63525</v>
      </c>
      <c r="D43" s="9" t="n">
        <f aca="false">C43/1000</f>
        <v>63.525</v>
      </c>
      <c r="E43" s="8" t="n">
        <v>4249099</v>
      </c>
      <c r="F43" s="8" t="n">
        <v>2897293</v>
      </c>
      <c r="G43" s="9" t="n">
        <v>330681</v>
      </c>
      <c r="H43" s="7" t="n">
        <v>4.5</v>
      </c>
      <c r="I43" s="7" t="n">
        <v>49.5</v>
      </c>
      <c r="J43" s="7" t="s">
        <v>98</v>
      </c>
    </row>
    <row r="44" customFormat="false" ht="14.25" hidden="false" customHeight="true" outlineLevel="0" collapsed="false">
      <c r="A44" s="10" t="n">
        <v>2018</v>
      </c>
      <c r="B44" s="10" t="s">
        <v>113</v>
      </c>
      <c r="C44" s="12" t="n">
        <v>53800</v>
      </c>
      <c r="D44" s="9" t="n">
        <f aca="false">C44/1000</f>
        <v>53.8</v>
      </c>
      <c r="E44" s="11" t="n">
        <v>4266040</v>
      </c>
      <c r="F44" s="11" t="n">
        <v>1936725</v>
      </c>
      <c r="G44" s="12" t="n">
        <v>343944</v>
      </c>
      <c r="H44" s="10" t="n">
        <v>3.8</v>
      </c>
      <c r="I44" s="10" t="n">
        <v>25</v>
      </c>
      <c r="J44" s="10" t="s">
        <v>98</v>
      </c>
    </row>
    <row r="45" customFormat="false" ht="14.25" hidden="false" customHeight="true" outlineLevel="0" collapsed="false">
      <c r="A45" s="7" t="n">
        <v>2018</v>
      </c>
      <c r="B45" s="7" t="s">
        <v>118</v>
      </c>
      <c r="C45" s="9" t="n">
        <v>51800</v>
      </c>
      <c r="D45" s="9" t="n">
        <f aca="false">C45/1000</f>
        <v>51.8</v>
      </c>
      <c r="E45" s="8" t="n">
        <v>2978262</v>
      </c>
      <c r="F45" s="8" t="n">
        <v>2131932</v>
      </c>
      <c r="G45" s="9" t="n">
        <v>369286</v>
      </c>
      <c r="H45" s="7" t="n">
        <v>3.5</v>
      </c>
      <c r="I45" s="7" t="n">
        <v>15.2</v>
      </c>
      <c r="J45" s="7" t="s">
        <v>98</v>
      </c>
    </row>
    <row r="46" customFormat="false" ht="14.25" hidden="false" customHeight="true" outlineLevel="0" collapsed="false">
      <c r="A46" s="10" t="n">
        <v>2018</v>
      </c>
      <c r="B46" s="10" t="s">
        <v>123</v>
      </c>
      <c r="C46" s="12" t="n">
        <v>57375</v>
      </c>
      <c r="D46" s="9" t="n">
        <f aca="false">C46/1000</f>
        <v>57.375</v>
      </c>
      <c r="E46" s="11" t="n">
        <v>4034860</v>
      </c>
      <c r="F46" s="11" t="n">
        <v>2706868</v>
      </c>
      <c r="G46" s="12" t="n">
        <v>353417</v>
      </c>
      <c r="H46" s="10" t="n">
        <v>3.3</v>
      </c>
      <c r="I46" s="10" t="n">
        <v>28.8</v>
      </c>
      <c r="J46" s="10" t="s">
        <v>98</v>
      </c>
    </row>
    <row r="47" customFormat="false" ht="14.25" hidden="false" customHeight="true" outlineLevel="0" collapsed="false">
      <c r="A47" s="7" t="n">
        <v>2018</v>
      </c>
      <c r="B47" s="7" t="s">
        <v>129</v>
      </c>
      <c r="C47" s="9" t="n">
        <v>47100</v>
      </c>
      <c r="D47" s="9" t="n">
        <f aca="false">C47/1000</f>
        <v>47.1</v>
      </c>
      <c r="E47" s="8" t="n">
        <v>4848088</v>
      </c>
      <c r="F47" s="8" t="n">
        <v>3452363</v>
      </c>
      <c r="G47" s="9" t="n">
        <v>327108</v>
      </c>
      <c r="H47" s="7" t="n">
        <v>3.7</v>
      </c>
      <c r="I47" s="7" t="n">
        <v>21.7</v>
      </c>
      <c r="J47" s="7" t="s">
        <v>98</v>
      </c>
    </row>
    <row r="48" customFormat="false" ht="14.25" hidden="false" customHeight="true" outlineLevel="0" collapsed="false">
      <c r="A48" s="10" t="n">
        <v>2018</v>
      </c>
      <c r="B48" s="10" t="s">
        <v>134</v>
      </c>
      <c r="C48" s="12" t="n">
        <v>42675</v>
      </c>
      <c r="D48" s="9" t="n">
        <f aca="false">C48/1000</f>
        <v>42.675</v>
      </c>
      <c r="E48" s="11" t="n">
        <v>4270449</v>
      </c>
      <c r="F48" s="11" t="n">
        <v>2940942</v>
      </c>
      <c r="G48" s="12" t="n">
        <v>326686</v>
      </c>
      <c r="H48" s="10" t="n">
        <v>3.9</v>
      </c>
      <c r="I48" s="10" t="n">
        <v>-0.4</v>
      </c>
      <c r="J48" s="10" t="s">
        <v>98</v>
      </c>
    </row>
    <row r="49" customFormat="false" ht="14.25" hidden="false" customHeight="true" outlineLevel="0" collapsed="false">
      <c r="A49" s="7" t="n">
        <v>2018</v>
      </c>
      <c r="B49" s="7" t="s">
        <v>140</v>
      </c>
      <c r="C49" s="9" t="n">
        <v>35850</v>
      </c>
      <c r="D49" s="9" t="n">
        <f aca="false">C49/1000</f>
        <v>35.85</v>
      </c>
      <c r="E49" s="8" t="n">
        <v>4888851</v>
      </c>
      <c r="F49" s="8" t="n">
        <v>2613811</v>
      </c>
      <c r="G49" s="9" t="n">
        <v>340680</v>
      </c>
      <c r="H49" s="7" t="n">
        <v>4</v>
      </c>
      <c r="I49" s="7" t="n">
        <v>-26.5</v>
      </c>
      <c r="J49" s="7" t="s">
        <v>98</v>
      </c>
    </row>
    <row r="50" customFormat="false" ht="14.25" hidden="false" customHeight="true" outlineLevel="0" collapsed="false">
      <c r="A50" s="10" t="n">
        <v>2018</v>
      </c>
      <c r="B50" s="10" t="s">
        <v>145</v>
      </c>
      <c r="C50" s="12" t="n">
        <v>35440</v>
      </c>
      <c r="D50" s="9" t="n">
        <f aca="false">C50/1000</f>
        <v>35.44</v>
      </c>
      <c r="E50" s="11" t="n">
        <v>4784310</v>
      </c>
      <c r="F50" s="11" t="n">
        <v>3327242</v>
      </c>
      <c r="G50" s="12" t="n">
        <v>321167</v>
      </c>
      <c r="H50" s="10" t="n">
        <v>3.8</v>
      </c>
      <c r="I50" s="10" t="n">
        <v>-31.4</v>
      </c>
      <c r="J50" s="10" t="s">
        <v>98</v>
      </c>
    </row>
    <row r="51" customFormat="false" ht="14.25" hidden="false" customHeight="true" outlineLevel="0" collapsed="false">
      <c r="A51" s="7" t="n">
        <v>2018</v>
      </c>
      <c r="B51" s="7" t="s">
        <v>150</v>
      </c>
      <c r="C51" s="9" t="n">
        <v>32250</v>
      </c>
      <c r="D51" s="9" t="n">
        <f aca="false">C51/1000</f>
        <v>32.25</v>
      </c>
      <c r="E51" s="8" t="n">
        <v>2988940</v>
      </c>
      <c r="F51" s="8" t="n">
        <v>2164591</v>
      </c>
      <c r="G51" s="9" t="n">
        <v>328291</v>
      </c>
      <c r="H51" s="7" t="n">
        <v>3.5</v>
      </c>
      <c r="I51" s="7" t="n">
        <v>-39.6</v>
      </c>
      <c r="J51" s="7" t="s">
        <v>98</v>
      </c>
    </row>
    <row r="52" customFormat="false" ht="14.25" hidden="false" customHeight="true" outlineLevel="0" collapsed="false">
      <c r="A52" s="10" t="n">
        <v>2018</v>
      </c>
      <c r="B52" s="10" t="s">
        <v>156</v>
      </c>
      <c r="C52" s="12" t="n">
        <v>29500</v>
      </c>
      <c r="D52" s="9" t="n">
        <f aca="false">C52/1000</f>
        <v>29.5</v>
      </c>
      <c r="E52" s="11" t="n">
        <v>4739554</v>
      </c>
      <c r="F52" s="11" t="n">
        <v>3083794</v>
      </c>
      <c r="G52" s="12" t="n">
        <v>326181</v>
      </c>
      <c r="H52" s="10" t="n">
        <v>3.2</v>
      </c>
      <c r="I52" s="10" t="n">
        <v>-56.5</v>
      </c>
      <c r="J52" s="10" t="s">
        <v>98</v>
      </c>
    </row>
    <row r="53" customFormat="false" ht="14.25" hidden="false" customHeight="true" outlineLevel="0" collapsed="false">
      <c r="A53" s="7" t="n">
        <v>2019</v>
      </c>
      <c r="B53" s="7" t="s">
        <v>96</v>
      </c>
      <c r="C53" s="9" t="n">
        <v>29300</v>
      </c>
      <c r="D53" s="9" t="n">
        <f aca="false">C53/1000</f>
        <v>29.3</v>
      </c>
      <c r="E53" s="8" t="n">
        <v>3187453</v>
      </c>
      <c r="F53" s="8" t="n">
        <v>2416237</v>
      </c>
      <c r="G53" s="9" t="n">
        <v>351276</v>
      </c>
      <c r="H53" s="7" t="n">
        <v>2.2</v>
      </c>
      <c r="I53" s="7" t="n">
        <v>-56.1</v>
      </c>
      <c r="J53" s="7" t="s">
        <v>319</v>
      </c>
    </row>
    <row r="54" customFormat="false" ht="14.25" hidden="false" customHeight="true" outlineLevel="0" collapsed="false">
      <c r="A54" s="10" t="n">
        <v>2019</v>
      </c>
      <c r="B54" s="10" t="s">
        <v>102</v>
      </c>
      <c r="C54" s="12" t="n">
        <v>29950</v>
      </c>
      <c r="D54" s="9" t="n">
        <f aca="false">C54/1000</f>
        <v>29.95</v>
      </c>
      <c r="E54" s="11" t="n">
        <v>4344610</v>
      </c>
      <c r="F54" s="11" t="n">
        <v>3141827</v>
      </c>
      <c r="G54" s="12" t="n">
        <v>356233</v>
      </c>
      <c r="H54" s="10" t="n">
        <v>3.7</v>
      </c>
      <c r="I54" s="10" t="n">
        <v>-52.8</v>
      </c>
      <c r="J54" s="10" t="s">
        <v>319</v>
      </c>
    </row>
    <row r="55" customFormat="false" ht="14.25" hidden="false" customHeight="true" outlineLevel="0" collapsed="false">
      <c r="A55" s="7" t="n">
        <v>2019</v>
      </c>
      <c r="B55" s="7" t="s">
        <v>107</v>
      </c>
      <c r="C55" s="9" t="n">
        <v>30575</v>
      </c>
      <c r="D55" s="9" t="n">
        <f aca="false">C55/1000</f>
        <v>30.575</v>
      </c>
      <c r="E55" s="8" t="n">
        <v>4742790</v>
      </c>
      <c r="F55" s="8" t="n">
        <v>3017410</v>
      </c>
      <c r="G55" s="9" t="n">
        <v>348390</v>
      </c>
      <c r="H55" s="7" t="n">
        <v>4</v>
      </c>
      <c r="I55" s="7" t="n">
        <v>-51.9</v>
      </c>
      <c r="J55" s="7" t="s">
        <v>319</v>
      </c>
    </row>
    <row r="56" customFormat="false" ht="14.25" hidden="false" customHeight="true" outlineLevel="0" collapsed="false">
      <c r="A56" s="10" t="n">
        <v>2019</v>
      </c>
      <c r="B56" s="10" t="s">
        <v>113</v>
      </c>
      <c r="C56" s="12" t="n">
        <v>29620</v>
      </c>
      <c r="D56" s="9" t="n">
        <f aca="false">C56/1000</f>
        <v>29.62</v>
      </c>
      <c r="E56" s="11" t="n">
        <v>6185939</v>
      </c>
      <c r="F56" s="11" t="n">
        <v>3324397</v>
      </c>
      <c r="G56" s="12" t="n">
        <v>362972</v>
      </c>
      <c r="H56" s="10" t="n">
        <v>4.2</v>
      </c>
      <c r="I56" s="10" t="n">
        <v>-44.9</v>
      </c>
      <c r="J56" s="10" t="s">
        <v>319</v>
      </c>
    </row>
    <row r="57" customFormat="false" ht="14.25" hidden="false" customHeight="true" outlineLevel="0" collapsed="false">
      <c r="A57" s="7" t="n">
        <v>2019</v>
      </c>
      <c r="B57" s="7" t="s">
        <v>118</v>
      </c>
      <c r="C57" s="9" t="n">
        <v>27375</v>
      </c>
      <c r="D57" s="9" t="n">
        <f aca="false">C57/1000</f>
        <v>27.375</v>
      </c>
      <c r="E57" s="8" t="n">
        <v>5466890</v>
      </c>
      <c r="F57" s="8" t="n">
        <v>2063033</v>
      </c>
      <c r="G57" s="9" t="n">
        <v>428172</v>
      </c>
      <c r="H57" s="7" t="n">
        <v>4.6</v>
      </c>
      <c r="I57" s="7" t="n">
        <v>-47.2</v>
      </c>
      <c r="J57" s="7" t="s">
        <v>319</v>
      </c>
    </row>
    <row r="58" customFormat="false" ht="14.25" hidden="false" customHeight="true" outlineLevel="0" collapsed="false">
      <c r="A58" s="10" t="n">
        <v>2019</v>
      </c>
      <c r="B58" s="10" t="s">
        <v>123</v>
      </c>
      <c r="C58" s="12" t="n">
        <v>21375</v>
      </c>
      <c r="D58" s="9" t="n">
        <f aca="false">C58/1000</f>
        <v>21.375</v>
      </c>
      <c r="E58" s="11" t="n">
        <v>12500000</v>
      </c>
      <c r="F58" s="11" t="n">
        <v>5800000</v>
      </c>
      <c r="G58" s="12" t="n">
        <v>437771</v>
      </c>
      <c r="H58" s="10" t="n">
        <v>4.7</v>
      </c>
      <c r="I58" s="10" t="n">
        <v>-62.7</v>
      </c>
      <c r="J58" s="10" t="s">
        <v>319</v>
      </c>
    </row>
    <row r="59" customFormat="false" ht="14.25" hidden="false" customHeight="true" outlineLevel="0" collapsed="false">
      <c r="A59" s="7" t="n">
        <v>2019</v>
      </c>
      <c r="B59" s="7" t="s">
        <v>129</v>
      </c>
      <c r="C59" s="9" t="n">
        <v>23840</v>
      </c>
      <c r="D59" s="9" t="n">
        <f aca="false">C59/1000</f>
        <v>23.84</v>
      </c>
      <c r="E59" s="8" t="n">
        <v>19822416</v>
      </c>
      <c r="F59" s="8" t="n">
        <v>1429569</v>
      </c>
      <c r="G59" s="9" t="n">
        <v>382267</v>
      </c>
      <c r="H59" s="7" t="n">
        <v>5.2</v>
      </c>
      <c r="I59" s="7" t="n">
        <v>-49.4</v>
      </c>
      <c r="J59" s="7" t="s">
        <v>319</v>
      </c>
    </row>
    <row r="60" customFormat="false" ht="14.25" hidden="false" customHeight="true" outlineLevel="0" collapsed="false">
      <c r="A60" s="10" t="n">
        <v>2019</v>
      </c>
      <c r="B60" s="10" t="s">
        <v>134</v>
      </c>
      <c r="C60" s="12" t="n">
        <v>22175</v>
      </c>
      <c r="D60" s="9" t="n">
        <f aca="false">C60/1000</f>
        <v>22.175</v>
      </c>
      <c r="E60" s="11" t="n">
        <v>17077963</v>
      </c>
      <c r="F60" s="11" t="n">
        <v>3461673</v>
      </c>
      <c r="G60" s="12" t="n">
        <v>374251</v>
      </c>
      <c r="H60" s="10" t="n">
        <v>5.4</v>
      </c>
      <c r="I60" s="10" t="n">
        <v>-48</v>
      </c>
      <c r="J60" s="10" t="s">
        <v>319</v>
      </c>
    </row>
    <row r="61" customFormat="false" ht="14.25" hidden="false" customHeight="true" outlineLevel="0" collapsed="false">
      <c r="A61" s="7" t="n">
        <v>2019</v>
      </c>
      <c r="B61" s="7" t="s">
        <v>140</v>
      </c>
      <c r="C61" s="9" t="n">
        <v>21820</v>
      </c>
      <c r="D61" s="9" t="n">
        <f aca="false">C61/1000</f>
        <v>21.82</v>
      </c>
      <c r="E61" s="8" t="n">
        <v>16050511</v>
      </c>
      <c r="F61" s="8" t="n">
        <v>4780648</v>
      </c>
      <c r="G61" s="9" t="n">
        <v>389081</v>
      </c>
      <c r="H61" s="7" t="n">
        <v>5.8</v>
      </c>
      <c r="I61" s="7" t="n">
        <v>-39.1</v>
      </c>
      <c r="J61" s="7" t="s">
        <v>319</v>
      </c>
    </row>
    <row r="62" customFormat="false" ht="14.25" hidden="false" customHeight="true" outlineLevel="0" collapsed="false">
      <c r="A62" s="10" t="n">
        <v>2019</v>
      </c>
      <c r="B62" s="10" t="s">
        <v>145</v>
      </c>
      <c r="C62" s="12" t="n">
        <v>22125</v>
      </c>
      <c r="D62" s="9" t="n">
        <f aca="false">C62/1000</f>
        <v>22.125</v>
      </c>
      <c r="E62" s="11" t="n">
        <v>8648341</v>
      </c>
      <c r="F62" s="11" t="n">
        <v>2874234</v>
      </c>
      <c r="G62" s="12" t="n">
        <v>384958</v>
      </c>
      <c r="H62" s="10" t="n">
        <v>6</v>
      </c>
      <c r="I62" s="10" t="n">
        <v>-37.6</v>
      </c>
      <c r="J62" s="10" t="s">
        <v>319</v>
      </c>
    </row>
    <row r="63" customFormat="false" ht="14.25" hidden="false" customHeight="true" outlineLevel="0" collapsed="false">
      <c r="A63" s="7" t="n">
        <v>2019</v>
      </c>
      <c r="B63" s="7" t="s">
        <v>150</v>
      </c>
      <c r="C63" s="9" t="n">
        <v>25825</v>
      </c>
      <c r="D63" s="9" t="n">
        <f aca="false">C63/1000</f>
        <v>25.825</v>
      </c>
      <c r="E63" s="8" t="n">
        <v>6862629</v>
      </c>
      <c r="F63" s="8" t="n">
        <v>3249559</v>
      </c>
      <c r="G63" s="9" t="n">
        <v>374145</v>
      </c>
      <c r="H63" s="7" t="n">
        <v>5.6</v>
      </c>
      <c r="I63" s="7" t="n">
        <v>-19.9</v>
      </c>
      <c r="J63" s="7" t="s">
        <v>319</v>
      </c>
    </row>
    <row r="64" customFormat="false" ht="14.25" hidden="false" customHeight="true" outlineLevel="0" collapsed="false">
      <c r="A64" s="10" t="n">
        <v>2019</v>
      </c>
      <c r="B64" s="10" t="s">
        <v>156</v>
      </c>
      <c r="C64" s="12" t="n">
        <v>30500</v>
      </c>
      <c r="D64" s="9" t="n">
        <f aca="false">C64/1000</f>
        <v>30.5</v>
      </c>
      <c r="E64" s="11" t="n">
        <v>5671142</v>
      </c>
      <c r="F64" s="11" t="n">
        <v>3617430</v>
      </c>
      <c r="G64" s="12" t="n">
        <v>370417</v>
      </c>
      <c r="H64" s="10" t="n">
        <v>5.4</v>
      </c>
      <c r="I64" s="10" t="n">
        <v>3.4</v>
      </c>
      <c r="J64" s="10" t="s">
        <v>319</v>
      </c>
    </row>
    <row r="65" customFormat="false" ht="14.25" hidden="false" customHeight="true" outlineLevel="0" collapsed="false">
      <c r="A65" s="7" t="n">
        <v>2020</v>
      </c>
      <c r="B65" s="7" t="s">
        <v>96</v>
      </c>
      <c r="C65" s="9" t="n">
        <v>45684.67</v>
      </c>
      <c r="D65" s="9" t="n">
        <f aca="false">C65/1000</f>
        <v>45.68467</v>
      </c>
      <c r="E65" s="8" t="n">
        <v>3810378</v>
      </c>
      <c r="F65" s="8" t="n">
        <v>3236639</v>
      </c>
      <c r="G65" s="9" t="n">
        <v>368095.24</v>
      </c>
      <c r="H65" s="7" t="n">
        <v>7.6</v>
      </c>
      <c r="I65" s="7" t="n">
        <v>55.9</v>
      </c>
      <c r="J65" s="7" t="s">
        <v>319</v>
      </c>
    </row>
    <row r="66" customFormat="false" ht="14.25" hidden="false" customHeight="true" outlineLevel="0" collapsed="false">
      <c r="A66" s="10" t="n">
        <v>2020</v>
      </c>
      <c r="B66" s="10" t="s">
        <v>102</v>
      </c>
      <c r="C66" s="12" t="n">
        <v>45070.68</v>
      </c>
      <c r="D66" s="9" t="n">
        <f aca="false">C66/1000</f>
        <v>45.07068</v>
      </c>
      <c r="E66" s="11" t="n">
        <v>2837959</v>
      </c>
      <c r="F66" s="11" t="n">
        <v>2039482</v>
      </c>
      <c r="G66" s="12" t="n">
        <v>377777.78</v>
      </c>
      <c r="H66" s="10" t="n">
        <v>7.1</v>
      </c>
      <c r="I66" s="10" t="n">
        <v>50.5</v>
      </c>
      <c r="J66" s="10" t="s">
        <v>319</v>
      </c>
    </row>
    <row r="67" customFormat="false" ht="14.25" hidden="false" customHeight="true" outlineLevel="0" collapsed="false">
      <c r="A67" s="7" t="n">
        <v>2020</v>
      </c>
      <c r="B67" s="7" t="s">
        <v>107</v>
      </c>
      <c r="C67" s="9" t="n">
        <v>45815.54</v>
      </c>
      <c r="D67" s="9" t="n">
        <f aca="false">C67/1000</f>
        <v>45.81554</v>
      </c>
      <c r="E67" s="8" t="n">
        <v>1997689</v>
      </c>
      <c r="F67" s="8" t="n">
        <v>1343845</v>
      </c>
      <c r="G67" s="9" t="n">
        <v>365000</v>
      </c>
      <c r="H67" s="7" t="n">
        <v>6.7</v>
      </c>
      <c r="I67" s="7" t="n">
        <v>49.8</v>
      </c>
      <c r="J67" s="7" t="s">
        <v>319</v>
      </c>
    </row>
    <row r="68" customFormat="false" ht="14.25" hidden="false" customHeight="true" outlineLevel="0" collapsed="false">
      <c r="A68" s="10" t="n">
        <v>2020</v>
      </c>
      <c r="B68" s="10" t="s">
        <v>113</v>
      </c>
      <c r="C68" s="12" t="n">
        <v>42122.39</v>
      </c>
      <c r="D68" s="9" t="n">
        <f aca="false">C68/1000</f>
        <v>42.12239</v>
      </c>
      <c r="E68" s="11" t="n">
        <v>6105973</v>
      </c>
      <c r="F68" s="11" t="n">
        <v>3956889</v>
      </c>
      <c r="G68" s="12" t="n">
        <v>475663</v>
      </c>
      <c r="H68" s="10" t="n">
        <v>6</v>
      </c>
      <c r="I68" s="10" t="n">
        <v>42.2</v>
      </c>
      <c r="J68" s="10" t="s">
        <v>319</v>
      </c>
    </row>
    <row r="69" customFormat="false" ht="14.25" hidden="false" customHeight="true" outlineLevel="0" collapsed="false">
      <c r="A69" s="7" t="n">
        <v>2020</v>
      </c>
      <c r="B69" s="7" t="s">
        <v>118</v>
      </c>
      <c r="C69" s="9" t="n">
        <v>47644.4</v>
      </c>
      <c r="D69" s="9" t="n">
        <f aca="false">C69/1000</f>
        <v>47.6444</v>
      </c>
      <c r="E69" s="8" t="n">
        <v>4444055</v>
      </c>
      <c r="F69" s="8" t="n">
        <v>3434013</v>
      </c>
      <c r="G69" s="9" t="n">
        <v>487058.82</v>
      </c>
      <c r="H69" s="7" t="n">
        <v>5.2</v>
      </c>
      <c r="I69" s="7" t="n">
        <v>74</v>
      </c>
      <c r="J69" s="7" t="s">
        <v>319</v>
      </c>
    </row>
    <row r="70" customFormat="false" ht="14.25" hidden="false" customHeight="true" outlineLevel="0" collapsed="false">
      <c r="A70" s="10" t="n">
        <v>2020</v>
      </c>
      <c r="B70" s="10" t="s">
        <v>123</v>
      </c>
      <c r="C70" s="12" t="n">
        <v>50958.8</v>
      </c>
      <c r="D70" s="9" t="n">
        <f aca="false">C70/1000</f>
        <v>50.9588</v>
      </c>
      <c r="E70" s="11" t="n">
        <v>4840003</v>
      </c>
      <c r="F70" s="11" t="n">
        <v>3139267</v>
      </c>
      <c r="G70" s="12" t="n">
        <v>510825</v>
      </c>
      <c r="H70" s="10" t="n">
        <v>4.1</v>
      </c>
      <c r="I70" s="10" t="n">
        <v>138.4</v>
      </c>
      <c r="J70" s="10" t="s">
        <v>319</v>
      </c>
    </row>
    <row r="71" customFormat="false" ht="14.25" hidden="false" customHeight="true" outlineLevel="0" collapsed="false">
      <c r="A71" s="7" t="n">
        <v>2020</v>
      </c>
      <c r="B71" s="7" t="s">
        <v>129</v>
      </c>
      <c r="C71" s="9" t="n">
        <v>53904.24</v>
      </c>
      <c r="D71" s="9" t="n">
        <f aca="false">C71/1000</f>
        <v>53.90424</v>
      </c>
      <c r="E71" s="8" t="n">
        <v>5783150</v>
      </c>
      <c r="F71" s="8" t="n">
        <v>4561227</v>
      </c>
      <c r="G71" s="9" t="n">
        <v>450543.48</v>
      </c>
      <c r="H71" s="7" t="n">
        <v>4.2</v>
      </c>
      <c r="I71" s="7" t="n">
        <v>126.1</v>
      </c>
      <c r="J71" s="7" t="s">
        <v>319</v>
      </c>
    </row>
    <row r="72" customFormat="false" ht="14.25" hidden="false" customHeight="true" outlineLevel="0" collapsed="false">
      <c r="A72" s="10" t="n">
        <v>2020</v>
      </c>
      <c r="B72" s="10" t="s">
        <v>134</v>
      </c>
      <c r="C72" s="12" t="n">
        <v>54814.45</v>
      </c>
      <c r="D72" s="9" t="n">
        <f aca="false">C72/1000</f>
        <v>54.81445</v>
      </c>
      <c r="E72" s="11" t="n">
        <v>3476942</v>
      </c>
      <c r="F72" s="11" t="n">
        <v>2534038</v>
      </c>
      <c r="G72" s="12" t="n">
        <v>446250</v>
      </c>
      <c r="H72" s="10" t="n">
        <v>5.5</v>
      </c>
      <c r="I72" s="10" t="n">
        <v>147.2</v>
      </c>
      <c r="J72" s="10" t="s">
        <v>319</v>
      </c>
    </row>
    <row r="73" customFormat="false" ht="14.25" hidden="false" customHeight="true" outlineLevel="0" collapsed="false">
      <c r="A73" s="7" t="n">
        <v>2020</v>
      </c>
      <c r="B73" s="7" t="s">
        <v>140</v>
      </c>
      <c r="C73" s="9" t="n">
        <v>57875</v>
      </c>
      <c r="D73" s="9" t="n">
        <f aca="false">C73/1000</f>
        <v>57.875</v>
      </c>
      <c r="E73" s="8" t="n">
        <v>3650000</v>
      </c>
      <c r="F73" s="8" t="n">
        <v>2650000</v>
      </c>
      <c r="G73" s="9" t="n">
        <v>452142.86</v>
      </c>
      <c r="H73" s="7" t="n">
        <v>6.4</v>
      </c>
      <c r="I73" s="7" t="n">
        <v>165.2</v>
      </c>
      <c r="J73" s="7" t="s">
        <v>319</v>
      </c>
    </row>
    <row r="74" customFormat="false" ht="14.25" hidden="false" customHeight="true" outlineLevel="0" collapsed="false">
      <c r="A74" s="10" t="n">
        <v>2021</v>
      </c>
      <c r="B74" s="10" t="s">
        <v>118</v>
      </c>
      <c r="C74" s="12" t="n">
        <v>62993.47</v>
      </c>
      <c r="D74" s="9" t="n">
        <f aca="false">C74/1000</f>
        <v>62.99347</v>
      </c>
      <c r="E74" s="11" t="n">
        <v>2947830</v>
      </c>
      <c r="F74" s="11" t="n">
        <v>1719381</v>
      </c>
      <c r="G74" s="12" t="n">
        <v>504210.53</v>
      </c>
      <c r="H74" s="10" t="n">
        <v>3.7</v>
      </c>
      <c r="I74" s="10" t="n">
        <v>32.2</v>
      </c>
      <c r="J74" s="10" t="s">
        <v>408</v>
      </c>
    </row>
    <row r="75" customFormat="false" ht="14.25" hidden="false" customHeight="true" outlineLevel="0" collapsed="false">
      <c r="A75" s="7" t="n">
        <v>2021</v>
      </c>
      <c r="B75" s="7" t="s">
        <v>123</v>
      </c>
      <c r="C75" s="9" t="n">
        <v>57786.75</v>
      </c>
      <c r="D75" s="9" t="n">
        <f aca="false">C75/1000</f>
        <v>57.78675</v>
      </c>
      <c r="E75" s="8" t="n">
        <v>4406604</v>
      </c>
      <c r="F75" s="8" t="n">
        <v>2648823</v>
      </c>
      <c r="G75" s="9" t="n">
        <v>522222.22</v>
      </c>
      <c r="H75" s="7" t="n">
        <v>3.3</v>
      </c>
      <c r="I75" s="7" t="n">
        <v>13.4</v>
      </c>
      <c r="J75" s="7" t="s">
        <v>408</v>
      </c>
    </row>
    <row r="76" customFormat="false" ht="14.25" hidden="false" customHeight="true" outlineLevel="0" collapsed="false">
      <c r="A76" s="10" t="n">
        <v>2021</v>
      </c>
      <c r="B76" s="10" t="s">
        <v>129</v>
      </c>
      <c r="C76" s="12" t="n">
        <v>56427.45</v>
      </c>
      <c r="D76" s="9" t="n">
        <f aca="false">C76/1000</f>
        <v>56.42745</v>
      </c>
      <c r="E76" s="11" t="n">
        <v>5410544</v>
      </c>
      <c r="F76" s="11" t="n">
        <v>4028236</v>
      </c>
      <c r="G76" s="12" t="n">
        <v>519431.82</v>
      </c>
      <c r="H76" s="10" t="n">
        <v>3.1</v>
      </c>
      <c r="I76" s="10" t="n">
        <v>4.7</v>
      </c>
      <c r="J76" s="10" t="s">
        <v>408</v>
      </c>
    </row>
    <row r="77" customFormat="false" ht="14.25" hidden="false" customHeight="true" outlineLevel="0" collapsed="false">
      <c r="A77" s="7" t="n">
        <v>2021</v>
      </c>
      <c r="B77" s="7" t="s">
        <v>134</v>
      </c>
      <c r="C77" s="9" t="n">
        <v>51823.49</v>
      </c>
      <c r="D77" s="9" t="n">
        <f aca="false">C77/1000</f>
        <v>51.82349</v>
      </c>
      <c r="E77" s="8" t="n">
        <v>5346611</v>
      </c>
      <c r="F77" s="8" t="n">
        <v>3404061</v>
      </c>
      <c r="G77" s="9" t="n">
        <v>555909.09</v>
      </c>
      <c r="H77" s="7" t="n">
        <v>4.1</v>
      </c>
      <c r="I77" s="7" t="n">
        <v>-5.5</v>
      </c>
      <c r="J77" s="7" t="s">
        <v>408</v>
      </c>
    </row>
    <row r="78" customFormat="false" ht="14.25" hidden="false" customHeight="true" outlineLevel="0" collapsed="false">
      <c r="A78" s="10" t="n">
        <v>2021</v>
      </c>
      <c r="B78" s="10" t="s">
        <v>140</v>
      </c>
      <c r="C78" s="12" t="n">
        <v>52407.68</v>
      </c>
      <c r="D78" s="9" t="n">
        <f aca="false">C78/1000</f>
        <v>52.40768</v>
      </c>
      <c r="E78" s="11" t="n">
        <v>6254922</v>
      </c>
      <c r="F78" s="11" t="n">
        <v>4050879</v>
      </c>
      <c r="G78" s="12" t="n">
        <v>650125</v>
      </c>
      <c r="H78" s="10" t="n">
        <v>5.5</v>
      </c>
      <c r="I78" s="10" t="n">
        <v>-9.4</v>
      </c>
      <c r="J78" s="10" t="s">
        <v>408</v>
      </c>
    </row>
    <row r="79" customFormat="false" ht="14.25" hidden="false" customHeight="true" outlineLevel="0" collapsed="false">
      <c r="A79" s="7" t="n">
        <v>2021</v>
      </c>
      <c r="B79" s="7" t="s">
        <v>145</v>
      </c>
      <c r="C79" s="9" t="n">
        <v>52612.15</v>
      </c>
      <c r="D79" s="9" t="n">
        <f aca="false">C79/1000</f>
        <v>52.61215</v>
      </c>
      <c r="E79" s="8" t="n">
        <v>4152093</v>
      </c>
      <c r="F79" s="8" t="n">
        <v>2874924</v>
      </c>
      <c r="G79" s="9" t="n">
        <v>722500</v>
      </c>
      <c r="H79" s="7" t="n">
        <v>6.1</v>
      </c>
      <c r="I79" s="7" t="n">
        <v>137.8</v>
      </c>
      <c r="J79" s="7" t="s">
        <v>408</v>
      </c>
    </row>
    <row r="80" customFormat="false" ht="14.25" hidden="false" customHeight="true" outlineLevel="0" collapsed="false">
      <c r="A80" s="10" t="n">
        <v>2021</v>
      </c>
      <c r="B80" s="10" t="s">
        <v>150</v>
      </c>
      <c r="C80" s="12" t="n">
        <v>61009.84</v>
      </c>
      <c r="D80" s="9" t="n">
        <f aca="false">C80/1000</f>
        <v>61.00984</v>
      </c>
      <c r="E80" s="11" t="n">
        <v>3096135</v>
      </c>
      <c r="F80" s="11" t="n">
        <v>2223004</v>
      </c>
      <c r="G80" s="12" t="n">
        <v>685238.1</v>
      </c>
      <c r="H80" s="10" t="n">
        <v>6.1</v>
      </c>
      <c r="I80" s="10" t="n">
        <v>136.2</v>
      </c>
      <c r="J80" s="10" t="s">
        <v>408</v>
      </c>
    </row>
    <row r="81" customFormat="false" ht="14.25" hidden="false" customHeight="true" outlineLevel="0" collapsed="false">
      <c r="A81" s="7" t="n">
        <v>2021</v>
      </c>
      <c r="B81" s="7" t="s">
        <v>156</v>
      </c>
      <c r="C81" s="9" t="n">
        <v>57067.05</v>
      </c>
      <c r="D81" s="9" t="n">
        <f aca="false">C81/1000</f>
        <v>57.06705</v>
      </c>
      <c r="E81" s="8" t="n">
        <v>3170002</v>
      </c>
      <c r="F81" s="8" t="n">
        <v>2572421</v>
      </c>
      <c r="G81" s="9" t="n">
        <v>677368.42</v>
      </c>
      <c r="H81" s="7" t="n">
        <v>7</v>
      </c>
      <c r="I81" s="7" t="n">
        <v>87.1</v>
      </c>
      <c r="J81" s="7" t="s">
        <v>408</v>
      </c>
    </row>
    <row r="82" customFormat="false" ht="14.25" hidden="false" customHeight="true" outlineLevel="0" collapsed="false">
      <c r="A82" s="10" t="n">
        <v>2022</v>
      </c>
      <c r="B82" s="10" t="s">
        <v>96</v>
      </c>
      <c r="C82" s="12" t="n">
        <v>61346.8</v>
      </c>
      <c r="D82" s="9" t="n">
        <f aca="false">C82/1000</f>
        <v>61.3468</v>
      </c>
      <c r="E82" s="11" t="n">
        <v>4087177</v>
      </c>
      <c r="F82" s="11" t="n">
        <v>2915226</v>
      </c>
      <c r="G82" s="12" t="n">
        <v>694722.22</v>
      </c>
      <c r="H82" s="10" t="n">
        <v>16.8</v>
      </c>
      <c r="I82" s="10" t="n">
        <v>34.3</v>
      </c>
      <c r="J82" s="10" t="s">
        <v>408</v>
      </c>
    </row>
    <row r="83" customFormat="false" ht="14.25" hidden="false" customHeight="true" outlineLevel="0" collapsed="false">
      <c r="A83" s="7" t="n">
        <v>2022</v>
      </c>
      <c r="B83" s="7" t="s">
        <v>102</v>
      </c>
      <c r="C83" s="9" t="n">
        <v>56397.73</v>
      </c>
      <c r="D83" s="9" t="n">
        <f aca="false">C83/1000</f>
        <v>56.39773</v>
      </c>
      <c r="E83" s="8" t="n">
        <v>4777116</v>
      </c>
      <c r="F83" s="8" t="n">
        <v>2779708</v>
      </c>
      <c r="G83" s="9" t="n">
        <v>750000</v>
      </c>
      <c r="H83" s="7" t="n">
        <v>17.5</v>
      </c>
      <c r="I83" s="7" t="n">
        <v>25.1</v>
      </c>
      <c r="J83" s="7" t="s">
        <v>408</v>
      </c>
    </row>
    <row r="84" customFormat="false" ht="14.25" hidden="false" customHeight="true" outlineLevel="0" collapsed="false">
      <c r="A84" s="10" t="n">
        <v>2022</v>
      </c>
      <c r="B84" s="10" t="s">
        <v>107</v>
      </c>
      <c r="C84" s="12" t="n">
        <v>61430.18</v>
      </c>
      <c r="D84" s="9" t="n">
        <f aca="false">C84/1000</f>
        <v>61.43018</v>
      </c>
      <c r="E84" s="11" t="n">
        <v>5653710</v>
      </c>
      <c r="F84" s="11" t="n">
        <v>4136656</v>
      </c>
      <c r="G84" s="12" t="n">
        <v>948333.33</v>
      </c>
      <c r="H84" s="10" t="n">
        <v>21.5</v>
      </c>
      <c r="I84" s="10" t="n">
        <v>34.1</v>
      </c>
      <c r="J84" s="10" t="s">
        <v>408</v>
      </c>
    </row>
    <row r="85" customFormat="false" ht="14.25" hidden="false" customHeight="true" outlineLevel="0" collapsed="false">
      <c r="A85" s="7" t="n">
        <v>2022</v>
      </c>
      <c r="B85" s="7" t="s">
        <v>113</v>
      </c>
      <c r="C85" s="9" t="n">
        <v>57393.03</v>
      </c>
      <c r="D85" s="9" t="n">
        <f aca="false">C85/1000</f>
        <v>57.39303</v>
      </c>
      <c r="E85" s="8" t="n">
        <v>5606248</v>
      </c>
      <c r="F85" s="8" t="n">
        <v>3293764</v>
      </c>
      <c r="G85" s="9" t="n">
        <v>1078000</v>
      </c>
      <c r="H85" s="7" t="n">
        <v>29.8</v>
      </c>
      <c r="I85" s="7" t="n">
        <v>36.3</v>
      </c>
      <c r="J85" s="7" t="s">
        <v>408</v>
      </c>
    </row>
    <row r="86" customFormat="false" ht="14.25" hidden="false" customHeight="true" outlineLevel="0" collapsed="false">
      <c r="A86" s="10" t="n">
        <v>2022</v>
      </c>
      <c r="B86" s="10" t="s">
        <v>118</v>
      </c>
      <c r="C86" s="12" t="n">
        <v>54905.53</v>
      </c>
      <c r="D86" s="9" t="n">
        <f aca="false">C86/1000</f>
        <v>54.90553</v>
      </c>
      <c r="E86" s="11" t="n">
        <v>6329291</v>
      </c>
      <c r="F86" s="11" t="n">
        <v>3399093</v>
      </c>
      <c r="G86" s="12" t="n">
        <v>1220208.33</v>
      </c>
      <c r="H86" s="10" t="n">
        <v>39.1</v>
      </c>
      <c r="I86" s="10" t="n">
        <v>-12.8</v>
      </c>
      <c r="J86" s="10" t="s">
        <v>408</v>
      </c>
    </row>
    <row r="87" customFormat="false" ht="14.25" hidden="false" customHeight="true" outlineLevel="0" collapsed="false">
      <c r="A87" s="7" t="n">
        <v>2022</v>
      </c>
      <c r="B87" s="7" t="s">
        <v>123</v>
      </c>
      <c r="C87" s="9" t="n">
        <v>49371.9</v>
      </c>
      <c r="D87" s="9" t="n">
        <f aca="false">C87/1000</f>
        <v>49.3719</v>
      </c>
      <c r="E87" s="8" t="n">
        <v>6584381</v>
      </c>
      <c r="F87" s="8" t="n">
        <v>3712393</v>
      </c>
      <c r="G87" s="9" t="n">
        <v>1334375</v>
      </c>
      <c r="H87" s="7" t="n">
        <v>54.6</v>
      </c>
      <c r="I87" s="7" t="n">
        <v>-14.6</v>
      </c>
      <c r="J87" s="7" t="s">
        <v>408</v>
      </c>
    </row>
    <row r="88" customFormat="false" ht="14.25" hidden="false" customHeight="true" outlineLevel="0" collapsed="false">
      <c r="A88" s="10" t="n">
        <v>2022</v>
      </c>
      <c r="B88" s="10" t="s">
        <v>129</v>
      </c>
      <c r="C88" s="12" t="n">
        <v>54518.1</v>
      </c>
      <c r="D88" s="9" t="n">
        <f aca="false">C88/1000</f>
        <v>54.5181</v>
      </c>
      <c r="E88" s="11" t="n">
        <v>6161802</v>
      </c>
      <c r="F88" s="11" t="n">
        <v>4492630</v>
      </c>
      <c r="G88" s="12" t="n">
        <v>1228250</v>
      </c>
      <c r="H88" s="10" t="n">
        <v>66.7</v>
      </c>
      <c r="I88" s="10" t="n">
        <v>-3.4</v>
      </c>
      <c r="J88" s="10" t="s">
        <v>408</v>
      </c>
    </row>
    <row r="89" customFormat="false" ht="14.25" hidden="false" customHeight="true" outlineLevel="0" collapsed="false">
      <c r="A89" s="7" t="n">
        <v>2022</v>
      </c>
      <c r="B89" s="7" t="s">
        <v>134</v>
      </c>
      <c r="C89" s="9" t="n">
        <v>64112.76</v>
      </c>
      <c r="D89" s="9" t="n">
        <f aca="false">C89/1000</f>
        <v>64.11276</v>
      </c>
      <c r="E89" s="8" t="n">
        <v>5273129</v>
      </c>
      <c r="F89" s="8" t="n">
        <v>3829217</v>
      </c>
      <c r="G89" s="9" t="n">
        <v>1190340.91</v>
      </c>
      <c r="H89" s="7" t="n">
        <v>70.2</v>
      </c>
      <c r="I89" s="7" t="n">
        <v>23.7</v>
      </c>
      <c r="J89" s="7" t="s">
        <v>408</v>
      </c>
    </row>
    <row r="90" customFormat="false" ht="14.25" hidden="false" customHeight="true" outlineLevel="0" collapsed="false">
      <c r="A90" s="10" t="n">
        <v>2022</v>
      </c>
      <c r="B90" s="10" t="s">
        <v>140</v>
      </c>
      <c r="C90" s="12" t="n">
        <v>59787.73</v>
      </c>
      <c r="D90" s="9" t="n">
        <f aca="false">C90/1000</f>
        <v>59.78773</v>
      </c>
      <c r="E90" s="11" t="n">
        <v>4171942</v>
      </c>
      <c r="F90" s="11" t="n">
        <v>3777976</v>
      </c>
      <c r="G90" s="12" t="n">
        <v>1173214.29</v>
      </c>
      <c r="H90" s="10" t="n">
        <v>69.8</v>
      </c>
      <c r="I90" s="10" t="n">
        <v>14.1</v>
      </c>
      <c r="J90" s="10" t="s">
        <v>408</v>
      </c>
    </row>
    <row r="91" customFormat="false" ht="14.25" hidden="false" customHeight="true" outlineLevel="0" collapsed="false">
      <c r="A91" s="7" t="n">
        <v>2022</v>
      </c>
      <c r="B91" s="7" t="s">
        <v>145</v>
      </c>
      <c r="C91" s="9" t="n">
        <v>61460.58</v>
      </c>
      <c r="D91" s="9" t="n">
        <f aca="false">C91/1000</f>
        <v>61.46058</v>
      </c>
      <c r="E91" s="8" t="n">
        <v>3774410</v>
      </c>
      <c r="F91" s="8" t="n">
        <v>2915649</v>
      </c>
      <c r="G91" s="9" t="n">
        <v>1094736.84</v>
      </c>
      <c r="H91" s="7" t="n">
        <v>70.6</v>
      </c>
      <c r="I91" s="7" t="n">
        <v>16.8</v>
      </c>
      <c r="J91" s="7" t="s">
        <v>408</v>
      </c>
    </row>
    <row r="92" customFormat="false" ht="14.25" hidden="false" customHeight="true" outlineLevel="0" collapsed="false">
      <c r="A92" s="10" t="n">
        <v>2022</v>
      </c>
      <c r="B92" s="10" t="s">
        <v>150</v>
      </c>
      <c r="C92" s="12" t="n">
        <v>64545.77</v>
      </c>
      <c r="D92" s="9" t="n">
        <f aca="false">C92/1000</f>
        <v>64.54577</v>
      </c>
      <c r="E92" s="11" t="n">
        <v>2460686</v>
      </c>
      <c r="F92" s="11" t="n">
        <v>1968802</v>
      </c>
      <c r="G92" s="12" t="n">
        <v>858095.24</v>
      </c>
      <c r="H92" s="10" t="n">
        <v>65</v>
      </c>
      <c r="I92" s="10" t="n">
        <v>5.8</v>
      </c>
      <c r="J92" s="10" t="s">
        <v>408</v>
      </c>
    </row>
    <row r="93" customFormat="false" ht="14.25" hidden="false" customHeight="true" outlineLevel="0" collapsed="false">
      <c r="A93" s="7" t="n">
        <v>2022</v>
      </c>
      <c r="B93" s="7" t="s">
        <v>156</v>
      </c>
      <c r="C93" s="9" t="n">
        <v>76376.22</v>
      </c>
      <c r="D93" s="9" t="n">
        <f aca="false">C93/1000</f>
        <v>76.37622</v>
      </c>
      <c r="E93" s="8" t="n">
        <v>2263280</v>
      </c>
      <c r="F93" s="8" t="n">
        <v>1943616</v>
      </c>
      <c r="G93" s="9" t="n">
        <v>756500</v>
      </c>
      <c r="H93" s="7" t="n">
        <v>59.2</v>
      </c>
      <c r="I93" s="7" t="n">
        <v>33.8</v>
      </c>
      <c r="J93" s="7" t="s">
        <v>408</v>
      </c>
    </row>
    <row r="94" customFormat="false" ht="14.25" hidden="false" customHeight="true" outlineLevel="0" collapsed="false">
      <c r="A94" s="10" t="n">
        <v>2023</v>
      </c>
      <c r="B94" s="10" t="s">
        <v>96</v>
      </c>
      <c r="C94" s="12" t="n">
        <v>81604.55</v>
      </c>
      <c r="D94" s="9" t="n">
        <f aca="false">C94/1000</f>
        <v>81.60455</v>
      </c>
      <c r="E94" s="11" t="n">
        <v>2223330</v>
      </c>
      <c r="F94" s="11" t="n">
        <v>1696446</v>
      </c>
      <c r="G94" s="12" t="n">
        <v>722619.05</v>
      </c>
      <c r="H94" s="10" t="n">
        <v>54.2</v>
      </c>
      <c r="I94" s="10" t="n">
        <v>33</v>
      </c>
      <c r="J94" s="10" t="s">
        <v>319</v>
      </c>
    </row>
    <row r="95" customFormat="false" ht="14.25" hidden="false" customHeight="true" outlineLevel="0" collapsed="false">
      <c r="A95" s="7" t="n">
        <v>2023</v>
      </c>
      <c r="B95" s="7" t="s">
        <v>102</v>
      </c>
      <c r="C95" s="9" t="n">
        <v>78657.13</v>
      </c>
      <c r="D95" s="9" t="n">
        <f aca="false">C95/1000</f>
        <v>78.65713</v>
      </c>
      <c r="E95" s="8" t="n">
        <v>2111699</v>
      </c>
      <c r="F95" s="8" t="n">
        <v>1721424</v>
      </c>
      <c r="G95" s="9" t="n">
        <v>755450</v>
      </c>
      <c r="H95" s="7" t="n">
        <v>50.6</v>
      </c>
      <c r="I95" s="7" t="n">
        <v>39.5</v>
      </c>
      <c r="J95" s="7" t="s">
        <v>319</v>
      </c>
    </row>
    <row r="96" customFormat="false" ht="14.25" hidden="false" customHeight="true" outlineLevel="0" collapsed="false">
      <c r="A96" s="10" t="n">
        <v>2023</v>
      </c>
      <c r="B96" s="10" t="s">
        <v>107</v>
      </c>
      <c r="C96" s="12" t="n">
        <v>82042.4</v>
      </c>
      <c r="D96" s="9" t="n">
        <f aca="false">C96/1000</f>
        <v>82.0424</v>
      </c>
      <c r="E96" s="11" t="n">
        <v>4186057</v>
      </c>
      <c r="F96" s="11" t="n">
        <v>3019333</v>
      </c>
      <c r="G96" s="12" t="n">
        <v>794204.55</v>
      </c>
      <c r="H96" s="10" t="n">
        <v>47.6</v>
      </c>
      <c r="I96" s="10" t="n">
        <v>33.6</v>
      </c>
      <c r="J96" s="10" t="s">
        <v>319</v>
      </c>
    </row>
    <row r="97" customFormat="false" ht="14.25" hidden="false" customHeight="true" outlineLevel="0" collapsed="false">
      <c r="A97" s="7" t="n">
        <v>2023</v>
      </c>
      <c r="B97" s="7" t="s">
        <v>113</v>
      </c>
      <c r="C97" s="9" t="n">
        <v>71950.47</v>
      </c>
      <c r="D97" s="9" t="n">
        <f aca="false">C97/1000</f>
        <v>71.95047</v>
      </c>
      <c r="E97" s="8" t="n">
        <v>3006341</v>
      </c>
      <c r="F97" s="8" t="n">
        <v>2352028</v>
      </c>
      <c r="G97" s="9" t="n">
        <v>742272.73</v>
      </c>
      <c r="H97" s="7" t="n">
        <v>35.3</v>
      </c>
      <c r="I97" s="7" t="n">
        <v>25.4</v>
      </c>
      <c r="J97" s="7" t="s">
        <v>319</v>
      </c>
    </row>
    <row r="98" customFormat="false" ht="14.25" hidden="false" customHeight="true" outlineLevel="0" collapsed="false">
      <c r="A98" s="10" t="n">
        <v>2023</v>
      </c>
      <c r="B98" s="10" t="s">
        <v>118</v>
      </c>
      <c r="C98" s="12" t="n">
        <v>66204.27</v>
      </c>
      <c r="D98" s="9" t="n">
        <f aca="false">C98/1000</f>
        <v>66.20427</v>
      </c>
      <c r="E98" s="11" t="n">
        <v>3730014</v>
      </c>
      <c r="F98" s="11" t="n">
        <v>2648395</v>
      </c>
      <c r="G98" s="12" t="n">
        <v>723571.43</v>
      </c>
      <c r="H98" s="10" t="n">
        <v>25.2</v>
      </c>
      <c r="I98" s="10" t="n">
        <v>20.6</v>
      </c>
      <c r="J98" s="10" t="s">
        <v>319</v>
      </c>
    </row>
    <row r="99" customFormat="false" ht="14.25" hidden="false" customHeight="true" outlineLevel="0" collapsed="false">
      <c r="A99" s="7" t="n">
        <v>2023</v>
      </c>
      <c r="B99" s="7" t="s">
        <v>123</v>
      </c>
      <c r="C99" s="9" t="n">
        <v>66060.37</v>
      </c>
      <c r="D99" s="9" t="n">
        <f aca="false">C99/1000</f>
        <v>66.06037</v>
      </c>
      <c r="E99" s="8" t="n">
        <v>5454292</v>
      </c>
      <c r="F99" s="8" t="n">
        <v>3707599</v>
      </c>
      <c r="G99" s="9" t="n">
        <v>695952.38</v>
      </c>
      <c r="H99" s="7" t="n">
        <v>10.8</v>
      </c>
      <c r="I99" s="7" t="n">
        <v>33.8</v>
      </c>
      <c r="J99" s="7" t="s">
        <v>319</v>
      </c>
    </row>
    <row r="100" customFormat="false" ht="14.25" hidden="false" customHeight="true" outlineLevel="0" collapsed="false">
      <c r="A100" s="10" t="n">
        <v>2023</v>
      </c>
      <c r="B100" s="10" t="s">
        <v>129</v>
      </c>
      <c r="C100" s="12" t="n">
        <v>64376.32</v>
      </c>
      <c r="D100" s="9" t="n">
        <f aca="false">C100/1000</f>
        <v>64.37632</v>
      </c>
      <c r="E100" s="11" t="n">
        <v>4285533</v>
      </c>
      <c r="F100" s="11" t="n">
        <v>3452347</v>
      </c>
      <c r="G100" s="12" t="n">
        <v>665750</v>
      </c>
      <c r="H100" s="10" t="n">
        <v>4.8</v>
      </c>
      <c r="I100" s="10" t="n">
        <v>18.1</v>
      </c>
      <c r="J100" s="10" t="s">
        <v>319</v>
      </c>
    </row>
    <row r="101" customFormat="false" ht="14.25" hidden="false" customHeight="true" outlineLevel="0" collapsed="false">
      <c r="A101" s="7" t="n">
        <v>2023</v>
      </c>
      <c r="B101" s="7" t="s">
        <v>134</v>
      </c>
      <c r="C101" s="9" t="n">
        <v>61533.15</v>
      </c>
      <c r="D101" s="9" t="n">
        <f aca="false">C101/1000</f>
        <v>61.53315</v>
      </c>
      <c r="E101" s="8" t="n">
        <v>4692048</v>
      </c>
      <c r="F101" s="8" t="n">
        <v>3506827</v>
      </c>
      <c r="G101" s="9" t="n">
        <v>658809.52</v>
      </c>
      <c r="H101" s="7" t="n">
        <v>2.1</v>
      </c>
      <c r="I101" s="7" t="n">
        <v>-4</v>
      </c>
      <c r="J101" s="7" t="s">
        <v>319</v>
      </c>
    </row>
    <row r="102" customFormat="false" ht="14.25" hidden="false" customHeight="true" outlineLevel="0" collapsed="false">
      <c r="A102" s="10" t="n">
        <v>2023</v>
      </c>
      <c r="B102" s="10" t="s">
        <v>140</v>
      </c>
      <c r="C102" s="12" t="n">
        <v>62081.71</v>
      </c>
      <c r="D102" s="9" t="n">
        <f aca="false">C102/1000</f>
        <v>62.08171</v>
      </c>
      <c r="E102" s="11" t="n">
        <v>3382137</v>
      </c>
      <c r="F102" s="11" t="n">
        <v>2440496</v>
      </c>
      <c r="G102" s="12" t="n">
        <v>658157.89</v>
      </c>
      <c r="H102" s="10" t="n">
        <v>1.3</v>
      </c>
      <c r="I102" s="10" t="n">
        <v>3.8</v>
      </c>
      <c r="J102" s="10" t="s">
        <v>319</v>
      </c>
    </row>
    <row r="103" customFormat="false" ht="14.25" hidden="false" customHeight="true" outlineLevel="0" collapsed="false">
      <c r="A103" s="7" t="n">
        <v>2023</v>
      </c>
      <c r="B103" s="7" t="s">
        <v>145</v>
      </c>
      <c r="C103" s="9" t="n">
        <v>67549.93</v>
      </c>
      <c r="D103" s="9" t="n">
        <f aca="false">C103/1000</f>
        <v>67.54993</v>
      </c>
      <c r="E103" s="8" t="n">
        <v>2440341</v>
      </c>
      <c r="F103" s="8" t="n">
        <v>1738622</v>
      </c>
      <c r="G103" s="9" t="n">
        <v>648295.45</v>
      </c>
      <c r="H103" s="7" t="n">
        <v>1.5</v>
      </c>
      <c r="I103" s="7" t="n">
        <v>9.9</v>
      </c>
      <c r="J103" s="7" t="s">
        <v>319</v>
      </c>
    </row>
    <row r="104" customFormat="false" ht="14.25" hidden="false" customHeight="true" outlineLevel="0" collapsed="false">
      <c r="A104" s="10" t="n">
        <v>2023</v>
      </c>
      <c r="B104" s="10" t="s">
        <v>150</v>
      </c>
      <c r="C104" s="12" t="n">
        <v>78028.52</v>
      </c>
      <c r="D104" s="9" t="n">
        <f aca="false">C104/1000</f>
        <v>78.02852</v>
      </c>
      <c r="E104" s="11" t="n">
        <v>2334099</v>
      </c>
      <c r="F104" s="11" t="n">
        <v>1906471</v>
      </c>
      <c r="G104" s="12" t="n">
        <v>652272.73</v>
      </c>
      <c r="H104" s="10" t="n">
        <v>3.4</v>
      </c>
      <c r="I104" s="10" t="n">
        <v>20.9</v>
      </c>
      <c r="J104" s="10" t="s">
        <v>319</v>
      </c>
    </row>
    <row r="105" customFormat="false" ht="14.25" hidden="false" customHeight="true" outlineLevel="0" collapsed="false">
      <c r="A105" s="7" t="n">
        <v>2023</v>
      </c>
      <c r="B105" s="7" t="s">
        <v>156</v>
      </c>
      <c r="C105" s="9" t="n">
        <v>70600.81</v>
      </c>
      <c r="D105" s="9" t="n">
        <f aca="false">C105/1000</f>
        <v>70.60081</v>
      </c>
      <c r="E105" s="8" t="n">
        <v>1713450</v>
      </c>
      <c r="F105" s="8" t="n">
        <v>1349406</v>
      </c>
      <c r="G105" s="9" t="n">
        <v>653684.21</v>
      </c>
      <c r="H105" s="7" t="n">
        <v>4</v>
      </c>
      <c r="I105" s="7" t="n">
        <v>-7.6</v>
      </c>
      <c r="J105" s="7" t="s">
        <v>319</v>
      </c>
    </row>
    <row r="106" customFormat="false" ht="14.25" hidden="false" customHeight="true" outlineLevel="0" collapsed="false">
      <c r="A106" s="10" t="n">
        <v>2024</v>
      </c>
      <c r="B106" s="10" t="s">
        <v>96</v>
      </c>
      <c r="C106" s="12" t="n">
        <v>66400.58</v>
      </c>
      <c r="D106" s="9" t="n">
        <f aca="false">C106/1000</f>
        <v>66.40058</v>
      </c>
      <c r="E106" s="11" t="n">
        <v>2272129</v>
      </c>
      <c r="F106" s="11" t="n">
        <v>1806181</v>
      </c>
      <c r="G106" s="12" t="n">
        <v>702500</v>
      </c>
      <c r="H106" s="10" t="n">
        <v>4</v>
      </c>
      <c r="I106" s="10" t="n">
        <v>-18.6</v>
      </c>
      <c r="J106" s="10" t="s">
        <v>319</v>
      </c>
    </row>
    <row r="107" customFormat="false" ht="14.25" hidden="false" customHeight="true" outlineLevel="0" collapsed="false">
      <c r="A107" s="7" t="n">
        <v>2024</v>
      </c>
      <c r="B107" s="7" t="s">
        <v>102</v>
      </c>
      <c r="C107" s="9" t="n">
        <v>69538.75</v>
      </c>
      <c r="D107" s="9" t="n">
        <f aca="false">C107/1000</f>
        <v>69.53875</v>
      </c>
      <c r="E107" s="8" t="n">
        <v>2361159</v>
      </c>
      <c r="F107" s="8" t="n">
        <v>2005573</v>
      </c>
      <c r="G107" s="9" t="n">
        <v>735750</v>
      </c>
      <c r="H107" s="7" t="n">
        <v>3.5</v>
      </c>
      <c r="I107" s="7" t="n">
        <v>-11.6</v>
      </c>
      <c r="J107" s="7" t="s">
        <v>319</v>
      </c>
    </row>
    <row r="108" customFormat="false" ht="14.25" hidden="false" customHeight="true" outlineLevel="0" collapsed="false">
      <c r="A108" s="10" t="n">
        <v>2024</v>
      </c>
      <c r="B108" s="10" t="s">
        <v>107</v>
      </c>
      <c r="C108" s="12" t="n">
        <v>70085.09</v>
      </c>
      <c r="D108" s="9" t="n">
        <f aca="false">C108/1000</f>
        <v>70.08509</v>
      </c>
      <c r="E108" s="11" t="n">
        <v>2732518</v>
      </c>
      <c r="F108" s="11" t="n">
        <v>1811230</v>
      </c>
      <c r="G108" s="12" t="n">
        <v>736315.79</v>
      </c>
      <c r="H108" s="10" t="n">
        <v>3.1</v>
      </c>
      <c r="I108" s="10" t="n">
        <v>-14.6</v>
      </c>
      <c r="J108" s="10" t="s">
        <v>319</v>
      </c>
    </row>
    <row r="109" customFormat="false" ht="14.25" hidden="false" customHeight="true" outlineLevel="0" collapsed="false">
      <c r="A109" s="7" t="n">
        <v>2024</v>
      </c>
      <c r="B109" s="7" t="s">
        <v>113</v>
      </c>
      <c r="C109" s="9" t="n">
        <v>64182.46</v>
      </c>
      <c r="D109" s="9" t="n">
        <f aca="false">C109/1000</f>
        <v>64.18246</v>
      </c>
      <c r="E109" s="8" t="n">
        <v>3329324</v>
      </c>
      <c r="F109" s="8" t="n">
        <v>1776504</v>
      </c>
      <c r="G109" s="9" t="n">
        <v>736562.5</v>
      </c>
      <c r="H109" s="7" t="n">
        <v>1.5</v>
      </c>
      <c r="I109" s="7" t="n">
        <v>-10.8</v>
      </c>
      <c r="J109" s="7" t="s">
        <v>319</v>
      </c>
    </row>
    <row r="110" customFormat="false" ht="14.25" hidden="false" customHeight="true" outlineLevel="0" collapsed="false">
      <c r="A110" s="10" t="n">
        <v>2024</v>
      </c>
      <c r="B110" s="10" t="s">
        <v>118</v>
      </c>
      <c r="C110" s="12" t="n">
        <v>67431.82</v>
      </c>
      <c r="D110" s="9" t="n">
        <f aca="false">C110/1000</f>
        <v>67.43182</v>
      </c>
      <c r="E110" s="11" t="n">
        <v>3786881</v>
      </c>
      <c r="F110" s="11" t="n">
        <v>2498389</v>
      </c>
      <c r="G110" s="12" t="n">
        <v>742750</v>
      </c>
      <c r="H110" s="10" t="n">
        <v>0.9</v>
      </c>
      <c r="I110" s="10" t="n">
        <v>1.9</v>
      </c>
      <c r="J110" s="10" t="s">
        <v>319</v>
      </c>
    </row>
    <row r="111" customFormat="false" ht="14.25" hidden="false" customHeight="true" outlineLevel="0" collapsed="false">
      <c r="A111" s="7" t="n">
        <v>2024</v>
      </c>
      <c r="B111" s="7" t="s">
        <v>123</v>
      </c>
      <c r="C111" s="9" t="n">
        <v>79552.3</v>
      </c>
      <c r="D111" s="9" t="n">
        <f aca="false">C111/1000</f>
        <v>79.5523</v>
      </c>
      <c r="E111" s="8" t="n">
        <v>2476884</v>
      </c>
      <c r="F111" s="8" t="n">
        <v>2145879</v>
      </c>
      <c r="G111" s="9" t="n">
        <v>757352.94</v>
      </c>
      <c r="H111" s="7" t="n">
        <v>1.7</v>
      </c>
      <c r="I111" s="7" t="n">
        <v>20.4</v>
      </c>
      <c r="J111" s="7" t="s">
        <v>319</v>
      </c>
    </row>
    <row r="112" customFormat="false" ht="14.25" hidden="false" customHeight="true" outlineLevel="0" collapsed="false">
      <c r="A112" s="10" t="n">
        <v>2024</v>
      </c>
      <c r="B112" s="10" t="s">
        <v>129</v>
      </c>
      <c r="C112" s="12" t="n">
        <v>83081.11</v>
      </c>
      <c r="D112" s="9" t="n">
        <f aca="false">C112/1000</f>
        <v>83.08111</v>
      </c>
      <c r="E112" s="11" t="n">
        <v>2111896</v>
      </c>
      <c r="F112" s="11" t="n">
        <v>1953404</v>
      </c>
      <c r="G112" s="12" t="n">
        <v>752174</v>
      </c>
      <c r="H112" s="10" t="n">
        <v>1.5</v>
      </c>
      <c r="I112" s="10" t="n">
        <v>29.1</v>
      </c>
      <c r="J112" s="10" t="s">
        <v>319</v>
      </c>
    </row>
    <row r="113" customFormat="false" ht="14.25" hidden="false" customHeight="true" outlineLevel="0" collapsed="false">
      <c r="A113" s="7" t="n">
        <v>2024</v>
      </c>
      <c r="B113" s="7" t="s">
        <v>134</v>
      </c>
      <c r="C113" s="9" t="n">
        <v>90545.39</v>
      </c>
      <c r="D113" s="9" t="n">
        <f aca="false">C113/1000</f>
        <v>90.54539</v>
      </c>
      <c r="E113" s="8" t="n">
        <v>2785729</v>
      </c>
      <c r="F113" s="8" t="n">
        <v>2575288</v>
      </c>
      <c r="G113" s="9" t="n">
        <v>746667</v>
      </c>
      <c r="H113" s="7" t="n">
        <v>0.5</v>
      </c>
      <c r="I113" s="7" t="n">
        <v>47.1</v>
      </c>
      <c r="J113" s="7" t="s">
        <v>319</v>
      </c>
    </row>
    <row r="114" customFormat="false" ht="14.25" hidden="false" customHeight="true" outlineLevel="0" collapsed="false">
      <c r="A114" s="10" t="n">
        <v>2024</v>
      </c>
      <c r="B114" s="10" t="s">
        <v>140</v>
      </c>
      <c r="C114" s="12" t="n">
        <v>88225.78</v>
      </c>
      <c r="D114" s="9" t="n">
        <f aca="false">C114/1000</f>
        <v>88.22578</v>
      </c>
      <c r="E114" s="11" t="n">
        <v>1855542</v>
      </c>
      <c r="F114" s="11" t="n">
        <v>1648399</v>
      </c>
      <c r="G114" s="12" t="n">
        <v>752632</v>
      </c>
      <c r="H114" s="10" t="n">
        <v>0.2</v>
      </c>
      <c r="I114" s="10" t="n">
        <v>42.1</v>
      </c>
      <c r="J114" s="10" t="s">
        <v>319</v>
      </c>
    </row>
    <row r="115" customFormat="false" ht="14.25" hidden="false" customHeight="true" outlineLevel="0" collapsed="false">
      <c r="A115" s="7" t="n">
        <v>2024</v>
      </c>
      <c r="B115" s="7" t="s">
        <v>145</v>
      </c>
      <c r="C115" s="9" t="n">
        <v>100014.2</v>
      </c>
      <c r="D115" s="9" t="n">
        <f aca="false">C115/1000</f>
        <v>100.0142</v>
      </c>
      <c r="E115" s="8" t="n">
        <v>1619387</v>
      </c>
      <c r="F115" s="8" t="n">
        <v>1449310</v>
      </c>
      <c r="G115" s="9" t="n">
        <v>750000</v>
      </c>
      <c r="H115" s="7" t="n">
        <v>-0.7</v>
      </c>
      <c r="I115" s="7" t="n">
        <v>48.1</v>
      </c>
      <c r="J115" s="7" t="s">
        <v>319</v>
      </c>
    </row>
    <row r="116" customFormat="false" ht="14.25" hidden="false" customHeight="true" outlineLevel="0" collapsed="false">
      <c r="A116" s="10" t="n">
        <v>2024</v>
      </c>
      <c r="B116" s="10" t="s">
        <v>150</v>
      </c>
      <c r="C116" s="12" t="n">
        <v>102314.81</v>
      </c>
      <c r="D116" s="9" t="n">
        <f aca="false">C116/1000</f>
        <v>102.31481</v>
      </c>
      <c r="E116" s="11" t="n">
        <v>1903491</v>
      </c>
      <c r="F116" s="11" t="n">
        <v>1635895</v>
      </c>
      <c r="G116" s="12" t="n">
        <v>776315.79</v>
      </c>
      <c r="H116" s="10" t="n">
        <v>-2.1</v>
      </c>
      <c r="I116" s="10" t="n">
        <v>31.1</v>
      </c>
      <c r="J116" s="10" t="s">
        <v>319</v>
      </c>
    </row>
    <row r="117" customFormat="false" ht="14.25" hidden="false" customHeight="true" outlineLevel="0" collapsed="false">
      <c r="A117" s="10" t="n">
        <v>2025</v>
      </c>
      <c r="B117" s="10" t="s">
        <v>96</v>
      </c>
      <c r="C117" s="12" t="n">
        <v>138846.5</v>
      </c>
      <c r="D117" s="9" t="n">
        <f aca="false">C117/1000</f>
        <v>138.8465</v>
      </c>
      <c r="E117" s="11" t="n">
        <v>773650</v>
      </c>
      <c r="F117" s="11" t="n">
        <v>702819</v>
      </c>
      <c r="G117" s="12" t="n">
        <v>800000</v>
      </c>
      <c r="H117" s="10" t="n">
        <v>1.5</v>
      </c>
      <c r="I117" s="10" t="n">
        <v>116.4</v>
      </c>
      <c r="J117" s="10" t="s">
        <v>408</v>
      </c>
    </row>
    <row r="118" customFormat="false" ht="14.25" hidden="false" customHeight="true" outlineLevel="0" collapsed="false">
      <c r="A118" s="10" t="n">
        <v>2025</v>
      </c>
      <c r="B118" s="10" t="s">
        <v>102</v>
      </c>
      <c r="C118" s="12" t="n">
        <v>140000</v>
      </c>
      <c r="D118" s="9" t="n">
        <f aca="false">C118/1000</f>
        <v>140</v>
      </c>
      <c r="E118" s="11" t="n">
        <v>198931</v>
      </c>
      <c r="F118" s="11" t="n">
        <v>194576</v>
      </c>
      <c r="G118" s="12" t="n">
        <v>810000</v>
      </c>
      <c r="H118" s="10" t="n">
        <v>1.8</v>
      </c>
      <c r="I118" s="10" t="n">
        <v>126.5</v>
      </c>
      <c r="J118" s="10" t="s">
        <v>408</v>
      </c>
    </row>
    <row r="119" customFormat="false" ht="29.25" hidden="false" customHeight="true" outlineLevel="0" collapsed="false">
      <c r="A119" s="10" t="n">
        <v>2025</v>
      </c>
      <c r="B119" s="10" t="s">
        <v>107</v>
      </c>
      <c r="C119" s="10" t="n">
        <v>142411.82</v>
      </c>
      <c r="D119" s="7" t="n">
        <f aca="false">C119/1000</f>
        <v>142.41182</v>
      </c>
      <c r="E119" s="10" t="n">
        <v>662615</v>
      </c>
      <c r="F119" s="10" t="n">
        <v>572191</v>
      </c>
      <c r="G119" s="10" t="n">
        <v>820000</v>
      </c>
      <c r="H119" s="10" t="n">
        <v>2.1</v>
      </c>
      <c r="I119" s="10" t="n">
        <v>125.3</v>
      </c>
      <c r="J119" s="10" t="s">
        <v>408</v>
      </c>
    </row>
    <row r="120" customFormat="false" ht="14.25" hidden="false" customHeight="true" outlineLevel="0" collapsed="false">
      <c r="A120" s="10" t="n">
        <v>2025</v>
      </c>
      <c r="B120" s="10" t="s">
        <v>113</v>
      </c>
      <c r="C120" s="12" t="n">
        <v>178671.47</v>
      </c>
      <c r="D120" s="9" t="n">
        <f aca="false">C120/1000</f>
        <v>178.67147</v>
      </c>
      <c r="E120" s="11" t="n">
        <v>815744</v>
      </c>
      <c r="F120" s="11" t="n">
        <v>764586</v>
      </c>
      <c r="G120" s="12" t="n">
        <v>830000</v>
      </c>
      <c r="H120" s="10" t="n">
        <v>2.4</v>
      </c>
      <c r="I120" s="10" t="n">
        <v>175.7</v>
      </c>
      <c r="J120" s="10" t="s">
        <v>408</v>
      </c>
    </row>
    <row r="121" customFormat="false" ht="14.25" hidden="false" customHeight="true" outlineLevel="0" collapsed="false">
      <c r="A121" s="10" t="n">
        <v>2025</v>
      </c>
      <c r="B121" s="10" t="s">
        <v>118</v>
      </c>
      <c r="C121" s="12" t="n">
        <v>165053.03</v>
      </c>
      <c r="D121" s="9" t="n">
        <f aca="false">C121/1000</f>
        <v>165.05303</v>
      </c>
      <c r="E121" s="11" t="n">
        <v>1504458</v>
      </c>
      <c r="F121" s="11" t="n">
        <v>1275309</v>
      </c>
      <c r="G121" s="12" t="n">
        <v>820000</v>
      </c>
      <c r="H121" s="10" t="n">
        <v>2.2</v>
      </c>
      <c r="I121" s="10" t="n">
        <v>148.9</v>
      </c>
      <c r="J121" s="10" t="s">
        <v>408</v>
      </c>
    </row>
    <row r="122" customFormat="false" ht="14.25" hidden="false" customHeight="true" outlineLevel="0" collapsed="false">
      <c r="A122" s="10" t="n">
        <v>2025</v>
      </c>
      <c r="B122" s="10" t="s">
        <v>123</v>
      </c>
      <c r="C122" s="12" t="n">
        <v>127940.81</v>
      </c>
      <c r="D122" s="9" t="n">
        <f aca="false">C122/1000</f>
        <v>127.94081</v>
      </c>
      <c r="E122" s="11" t="n">
        <v>2663072</v>
      </c>
      <c r="F122" s="11" t="n">
        <v>1893031</v>
      </c>
      <c r="G122" s="12" t="n">
        <v>810000</v>
      </c>
      <c r="H122" s="10" t="n">
        <v>1.9</v>
      </c>
      <c r="I122" s="10" t="n">
        <v>93.6</v>
      </c>
      <c r="J122" s="10" t="s">
        <v>408</v>
      </c>
    </row>
    <row r="123" customFormat="false" ht="14.25" hidden="false" customHeight="true" outlineLevel="0" collapsed="false">
      <c r="A123" s="10" t="n">
        <v>2025</v>
      </c>
      <c r="B123" s="10" t="s">
        <v>129</v>
      </c>
      <c r="C123" s="12" t="n">
        <v>126611.4</v>
      </c>
      <c r="D123" s="9" t="n">
        <f aca="false">C123/1000</f>
        <v>126.6114</v>
      </c>
      <c r="E123" s="11" t="n">
        <v>2534318</v>
      </c>
      <c r="F123" s="11" t="n">
        <v>2341148</v>
      </c>
      <c r="G123" s="12" t="n">
        <v>800000</v>
      </c>
      <c r="H123" s="10" t="n">
        <v>1.7</v>
      </c>
      <c r="I123" s="10" t="n">
        <v>52.4</v>
      </c>
      <c r="J123" s="10" t="s">
        <v>408</v>
      </c>
    </row>
    <row r="124" customFormat="false" ht="14.25" hidden="false" customHeight="true" outlineLevel="0" collapsed="false">
      <c r="A124" s="10" t="n">
        <v>2025</v>
      </c>
      <c r="B124" s="10" t="s">
        <v>134</v>
      </c>
      <c r="C124" s="12" t="n">
        <v>138246.98</v>
      </c>
      <c r="D124" s="9" t="n">
        <f aca="false">C124/1000</f>
        <v>138.24698</v>
      </c>
      <c r="E124" s="11" t="n">
        <v>2600939</v>
      </c>
      <c r="F124" s="11" t="n">
        <v>2157586</v>
      </c>
      <c r="G124" s="12" t="n">
        <v>790000</v>
      </c>
      <c r="H124" s="10" t="n">
        <v>1.5</v>
      </c>
      <c r="I124" s="10" t="n">
        <v>52.7</v>
      </c>
      <c r="J124" s="10" t="s">
        <v>408</v>
      </c>
    </row>
    <row r="125" customFormat="false" ht="14.25" hidden="false" customHeight="true" outlineLevel="0" collapsed="false">
      <c r="A125" s="10" t="n">
        <v>2025</v>
      </c>
      <c r="B125" s="10" t="s">
        <v>140</v>
      </c>
      <c r="C125" s="12" t="n">
        <v>137347.49</v>
      </c>
      <c r="D125" s="9" t="n">
        <f aca="false">C125/1000</f>
        <v>137.34749</v>
      </c>
      <c r="E125" s="11" t="n">
        <v>2313708</v>
      </c>
      <c r="F125" s="11" t="n">
        <v>1961526</v>
      </c>
      <c r="G125" s="12" t="n">
        <v>785000</v>
      </c>
      <c r="H125" s="10" t="n">
        <v>1.4</v>
      </c>
      <c r="I125" s="10" t="n">
        <v>55.7</v>
      </c>
      <c r="J125" s="10" t="s">
        <v>408</v>
      </c>
    </row>
    <row r="126" customFormat="false" ht="14.25" hidden="false" customHeight="true" outlineLevel="0" collapsed="false">
      <c r="A126" s="10" t="n">
        <v>2025</v>
      </c>
      <c r="B126" s="10" t="s">
        <v>145</v>
      </c>
      <c r="C126" s="12" t="n">
        <v>133346.68</v>
      </c>
      <c r="D126" s="9" t="n">
        <f aca="false">C126/1000</f>
        <v>133.34668</v>
      </c>
      <c r="E126" s="11" t="n">
        <v>2411229</v>
      </c>
      <c r="F126" s="11" t="n">
        <v>1971987</v>
      </c>
      <c r="G126" s="12" t="n">
        <v>780000</v>
      </c>
      <c r="H126" s="10" t="n">
        <v>1.3</v>
      </c>
      <c r="I126" s="10" t="n">
        <v>33.3</v>
      </c>
      <c r="J126" s="10" t="s">
        <v>408</v>
      </c>
    </row>
    <row r="127" customFormat="false" ht="14.25" hidden="false" customHeight="true" outlineLevel="0" collapsed="false">
      <c r="A127" s="10" t="n">
        <v>2025</v>
      </c>
      <c r="B127" s="10" t="s">
        <v>150</v>
      </c>
      <c r="C127" s="12" t="n">
        <v>115651.02</v>
      </c>
      <c r="D127" s="9" t="n">
        <f aca="false">C127/1000</f>
        <v>115.65102</v>
      </c>
      <c r="E127" s="11" t="n">
        <v>1772556</v>
      </c>
      <c r="F127" s="11" t="n">
        <v>1133751</v>
      </c>
      <c r="G127" s="12" t="n">
        <v>770000</v>
      </c>
      <c r="H127" s="10" t="n">
        <v>1.1</v>
      </c>
      <c r="I127" s="10" t="n">
        <v>13</v>
      </c>
      <c r="J127" s="10" t="s">
        <v>319</v>
      </c>
    </row>
    <row r="128" customFormat="false" ht="14.25" hidden="false" customHeight="true" outlineLevel="0" collapsed="false">
      <c r="A128" s="10" t="n">
        <v>2025</v>
      </c>
      <c r="B128" s="10" t="s">
        <v>156</v>
      </c>
      <c r="C128" s="12" t="n">
        <v>115341.05</v>
      </c>
      <c r="D128" s="9" t="n">
        <f aca="false">C128/1000</f>
        <v>115.34105</v>
      </c>
      <c r="E128" s="11" t="n">
        <v>991396</v>
      </c>
      <c r="F128" s="11" t="n">
        <v>660347</v>
      </c>
      <c r="G128" s="12" t="n">
        <v>765000</v>
      </c>
      <c r="H128" s="10" t="n">
        <v>1</v>
      </c>
      <c r="I128" s="10" t="n">
        <v>11.6</v>
      </c>
      <c r="J128" s="10" t="s">
        <v>319</v>
      </c>
    </row>
    <row r="131" customFormat="false" ht="207" hidden="false" customHeight="true" outlineLevel="0" collapsed="false">
      <c r="A131" s="15" t="s">
        <v>638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18"/>
  </cols>
  <sheetData>
    <row r="1" customFormat="false" ht="30" hidden="false" customHeight="true" outlineLevel="0" collapsed="false">
      <c r="A1" s="2" t="s">
        <v>639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640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6.25" hidden="false" customHeight="true" outlineLevel="0" collapsed="false">
      <c r="A4" s="4" t="s">
        <v>86</v>
      </c>
      <c r="B4" s="4" t="s">
        <v>641</v>
      </c>
      <c r="C4" s="4" t="s">
        <v>642</v>
      </c>
      <c r="D4" s="4" t="s">
        <v>643</v>
      </c>
      <c r="E4" s="4" t="s">
        <v>644</v>
      </c>
      <c r="F4" s="4" t="s">
        <v>645</v>
      </c>
      <c r="G4" s="4" t="s">
        <v>646</v>
      </c>
      <c r="H4" s="4" t="s">
        <v>647</v>
      </c>
      <c r="I4" s="4" t="s">
        <v>648</v>
      </c>
      <c r="J4" s="4" t="s">
        <v>649</v>
      </c>
    </row>
    <row r="5" customFormat="false" ht="14.25" hidden="false" customHeight="true" outlineLevel="0" collapsed="false">
      <c r="A5" s="7" t="n">
        <v>2016</v>
      </c>
      <c r="B5" s="9" t="n">
        <v>3011.28</v>
      </c>
      <c r="C5" s="8" t="n">
        <v>40014</v>
      </c>
      <c r="D5" s="8" t="n">
        <v>16067</v>
      </c>
      <c r="E5" s="8" t="n">
        <v>51117</v>
      </c>
      <c r="F5" s="8" t="n">
        <v>30497</v>
      </c>
      <c r="G5" s="8" t="n">
        <v>8491</v>
      </c>
      <c r="H5" s="9" t="n">
        <v>1786.7</v>
      </c>
      <c r="I5" s="9" t="n">
        <v>2.42</v>
      </c>
      <c r="J5" s="7" t="s">
        <v>650</v>
      </c>
    </row>
    <row r="6" customFormat="false" ht="14.25" hidden="false" customHeight="true" outlineLevel="0" collapsed="false">
      <c r="A6" s="7" t="n">
        <v>2017</v>
      </c>
      <c r="B6" s="9" t="n">
        <v>2449.53</v>
      </c>
      <c r="C6" s="8" t="n">
        <v>7700</v>
      </c>
      <c r="D6" s="8" t="n">
        <v>14243</v>
      </c>
      <c r="E6" s="8" t="n">
        <v>29557</v>
      </c>
      <c r="F6" s="8" t="n">
        <v>32867</v>
      </c>
      <c r="G6" s="8" t="n">
        <v>7793</v>
      </c>
      <c r="H6" s="9" t="n">
        <v>1655.51</v>
      </c>
      <c r="I6" s="9" t="n">
        <v>3.39</v>
      </c>
      <c r="J6" s="7" t="s">
        <v>650</v>
      </c>
    </row>
    <row r="7" customFormat="false" ht="14.25" hidden="false" customHeight="true" outlineLevel="0" collapsed="false">
      <c r="A7" s="7" t="n">
        <v>2018</v>
      </c>
      <c r="B7" s="9" t="n">
        <v>2623.1</v>
      </c>
      <c r="C7" s="8" t="n">
        <v>6678</v>
      </c>
      <c r="D7" s="8" t="n">
        <v>12377</v>
      </c>
      <c r="E7" s="8" t="n">
        <v>24625</v>
      </c>
      <c r="F7" s="8" t="n">
        <v>34925</v>
      </c>
      <c r="G7" s="8" t="n">
        <v>8669</v>
      </c>
      <c r="H7" s="9" t="n">
        <v>1793.83</v>
      </c>
      <c r="I7" s="9" t="n">
        <v>3.31</v>
      </c>
      <c r="J7" s="7" t="s">
        <v>650</v>
      </c>
    </row>
    <row r="8" customFormat="false" ht="14.25" hidden="false" customHeight="true" outlineLevel="0" collapsed="false">
      <c r="A8" s="7" t="n">
        <v>2019</v>
      </c>
      <c r="B8" s="9" t="n">
        <v>3085.57</v>
      </c>
      <c r="C8" s="8" t="n">
        <v>27292</v>
      </c>
      <c r="D8" s="8" t="n">
        <v>12726</v>
      </c>
      <c r="E8" s="8" t="n">
        <v>44081</v>
      </c>
      <c r="F8" s="8" t="n">
        <v>43772</v>
      </c>
      <c r="G8" s="8" t="n">
        <v>9310</v>
      </c>
      <c r="H8" s="9" t="n">
        <v>1806.91</v>
      </c>
      <c r="I8" s="9" t="n">
        <v>1.92</v>
      </c>
      <c r="J8" s="7" t="s">
        <v>650</v>
      </c>
    </row>
    <row r="9" customFormat="false" ht="14.25" hidden="false" customHeight="true" outlineLevel="0" collapsed="false">
      <c r="A9" s="7" t="n">
        <v>2020</v>
      </c>
      <c r="B9" s="9" t="n">
        <v>2792.2</v>
      </c>
      <c r="C9" s="8" t="n">
        <v>5178</v>
      </c>
      <c r="D9" s="8" t="n">
        <v>15035</v>
      </c>
      <c r="E9" s="8" t="n">
        <v>25256</v>
      </c>
      <c r="F9" s="8" t="n">
        <v>48068</v>
      </c>
      <c r="G9" s="8" t="n">
        <v>8439</v>
      </c>
      <c r="H9" s="9" t="n">
        <v>1826.15</v>
      </c>
      <c r="I9" s="9" t="n">
        <v>1.97</v>
      </c>
      <c r="J9" s="7" t="s">
        <v>650</v>
      </c>
    </row>
    <row r="10" customFormat="false" ht="14.25" hidden="false" customHeight="true" outlineLevel="0" collapsed="false">
      <c r="A10" s="7" t="n">
        <v>2021</v>
      </c>
      <c r="B10" s="9" t="n">
        <v>3119.66</v>
      </c>
      <c r="C10" s="8" t="n">
        <v>22815</v>
      </c>
      <c r="D10" s="8" t="n">
        <v>15423</v>
      </c>
      <c r="E10" s="8" t="n">
        <v>33289</v>
      </c>
      <c r="F10" s="8" t="n">
        <v>54902</v>
      </c>
      <c r="G10" s="8" t="n">
        <v>9303</v>
      </c>
      <c r="H10" s="9" t="n">
        <v>1832.53</v>
      </c>
      <c r="I10" s="9" t="n">
        <v>3.5</v>
      </c>
      <c r="J10" s="7" t="s">
        <v>650</v>
      </c>
    </row>
    <row r="11" customFormat="false" ht="14.25" hidden="false" customHeight="true" outlineLevel="0" collapsed="false">
      <c r="A11" s="16" t="n">
        <v>2022</v>
      </c>
      <c r="B11" s="17" t="n">
        <v>3250</v>
      </c>
      <c r="C11" s="18" t="n">
        <v>18000</v>
      </c>
      <c r="D11" s="18" t="n">
        <v>16500</v>
      </c>
      <c r="E11" s="18" t="n">
        <v>38000</v>
      </c>
      <c r="F11" s="18" t="n">
        <v>56000</v>
      </c>
      <c r="G11" s="18" t="n">
        <v>9800</v>
      </c>
      <c r="H11" s="17" t="n">
        <v>1890</v>
      </c>
      <c r="I11" s="17" t="n">
        <v>3.8</v>
      </c>
      <c r="J11" s="16" t="s">
        <v>651</v>
      </c>
    </row>
    <row r="12" customFormat="false" ht="14.25" hidden="false" customHeight="true" outlineLevel="0" collapsed="false">
      <c r="A12" s="16" t="n">
        <v>2023</v>
      </c>
      <c r="B12" s="17" t="n">
        <v>3100</v>
      </c>
      <c r="C12" s="18" t="n">
        <v>15000</v>
      </c>
      <c r="D12" s="18" t="n">
        <v>17000</v>
      </c>
      <c r="E12" s="18" t="n">
        <v>36000</v>
      </c>
      <c r="F12" s="18" t="n">
        <v>58000</v>
      </c>
      <c r="G12" s="18" t="n">
        <v>10200</v>
      </c>
      <c r="H12" s="17" t="n">
        <v>1910</v>
      </c>
      <c r="I12" s="17" t="n">
        <v>4</v>
      </c>
      <c r="J12" s="16" t="s">
        <v>651</v>
      </c>
    </row>
    <row r="13" customFormat="false" ht="14.25" hidden="false" customHeight="true" outlineLevel="0" collapsed="false">
      <c r="A13" s="16" t="n">
        <v>2024</v>
      </c>
      <c r="B13" s="17" t="n">
        <v>3300</v>
      </c>
      <c r="C13" s="18" t="n">
        <v>20000</v>
      </c>
      <c r="D13" s="18" t="n">
        <v>18000</v>
      </c>
      <c r="E13" s="18" t="n">
        <v>42000</v>
      </c>
      <c r="F13" s="18" t="n">
        <v>62000</v>
      </c>
      <c r="G13" s="18" t="n">
        <v>10500</v>
      </c>
      <c r="H13" s="17" t="n">
        <v>1950</v>
      </c>
      <c r="I13" s="17" t="n">
        <v>4.2</v>
      </c>
      <c r="J13" s="16" t="s">
        <v>651</v>
      </c>
    </row>
    <row r="16" customFormat="false" ht="41.25" hidden="false" customHeight="true" outlineLevel="0" collapsed="false">
      <c r="A16" s="19" t="s">
        <v>652</v>
      </c>
      <c r="B16" s="19"/>
      <c r="C16" s="19"/>
      <c r="D16" s="19"/>
      <c r="E16" s="19"/>
      <c r="F16" s="19"/>
      <c r="G16" s="19"/>
      <c r="H16" s="19"/>
    </row>
  </sheetData>
  <mergeCells count="3">
    <mergeCell ref="A1:K1"/>
    <mergeCell ref="A2:K2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L22" activeCellId="0" sqref="L2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3.79"/>
    <col collapsed="false" customWidth="true" hidden="false" outlineLevel="0" max="2" min="2" style="1" width="14"/>
    <col collapsed="false" customWidth="true" hidden="false" outlineLevel="0" max="3" min="3" style="1" width="17.44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3.44"/>
    <col collapsed="false" customWidth="true" hidden="false" outlineLevel="0" max="9" min="9" style="1" width="18"/>
    <col collapsed="false" customWidth="true" hidden="false" outlineLevel="0" max="10" min="10" style="1" width="16"/>
    <col collapsed="false" customWidth="true" hidden="false" outlineLevel="0" max="11" min="11" style="1" width="18"/>
  </cols>
  <sheetData>
    <row r="1" customFormat="false" ht="30" hidden="false" customHeight="true" outlineLevel="0" collapsed="false">
      <c r="A1" s="2" t="s">
        <v>653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654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6.25" hidden="false" customHeight="true" outlineLevel="0" collapsed="false">
      <c r="A4" s="4" t="s">
        <v>86</v>
      </c>
      <c r="B4" s="4" t="s">
        <v>655</v>
      </c>
      <c r="C4" s="4" t="s">
        <v>656</v>
      </c>
      <c r="D4" s="4" t="s">
        <v>657</v>
      </c>
      <c r="E4" s="4" t="s">
        <v>642</v>
      </c>
      <c r="F4" s="4" t="s">
        <v>658</v>
      </c>
      <c r="G4" s="4" t="s">
        <v>659</v>
      </c>
      <c r="H4" s="4" t="s">
        <v>660</v>
      </c>
      <c r="I4" s="4" t="s">
        <v>661</v>
      </c>
      <c r="J4" s="4" t="s">
        <v>662</v>
      </c>
      <c r="K4" s="4" t="s">
        <v>649</v>
      </c>
    </row>
    <row r="5" customFormat="false" ht="14.25" hidden="false" customHeight="true" outlineLevel="0" collapsed="false">
      <c r="A5" s="7" t="n">
        <v>2013</v>
      </c>
      <c r="B5" s="8" t="n">
        <v>1720</v>
      </c>
      <c r="C5" s="8" t="n">
        <v>2101</v>
      </c>
      <c r="D5" s="8" t="n">
        <v>28202</v>
      </c>
      <c r="E5" s="8" t="n">
        <v>71</v>
      </c>
      <c r="F5" s="8" t="n">
        <v>21456</v>
      </c>
      <c r="G5" s="8" t="n">
        <v>12570</v>
      </c>
      <c r="H5" s="8" t="n">
        <v>1591</v>
      </c>
      <c r="I5" s="8" t="n">
        <v>0</v>
      </c>
      <c r="J5" s="8" t="n">
        <v>46255</v>
      </c>
      <c r="K5" s="7" t="s">
        <v>663</v>
      </c>
    </row>
    <row r="6" customFormat="false" ht="14.25" hidden="false" customHeight="true" outlineLevel="0" collapsed="false">
      <c r="A6" s="10" t="n">
        <v>2014</v>
      </c>
      <c r="B6" s="11" t="n">
        <v>3976</v>
      </c>
      <c r="C6" s="11" t="n">
        <v>7278</v>
      </c>
      <c r="D6" s="11" t="n">
        <v>51132</v>
      </c>
      <c r="E6" s="11" t="n">
        <v>4776</v>
      </c>
      <c r="F6" s="11" t="n">
        <v>33037</v>
      </c>
      <c r="G6" s="11" t="n">
        <v>15491</v>
      </c>
      <c r="H6" s="11" t="n">
        <v>1923</v>
      </c>
      <c r="I6" s="11" t="n">
        <v>0</v>
      </c>
      <c r="J6" s="11" t="n">
        <v>84576</v>
      </c>
      <c r="K6" s="10" t="s">
        <v>663</v>
      </c>
    </row>
    <row r="7" customFormat="false" ht="14.25" hidden="false" customHeight="true" outlineLevel="0" collapsed="false">
      <c r="A7" s="7" t="n">
        <v>2015</v>
      </c>
      <c r="B7" s="8" t="n">
        <v>8679</v>
      </c>
      <c r="C7" s="8" t="n">
        <v>13353</v>
      </c>
      <c r="D7" s="8" t="n">
        <v>36131</v>
      </c>
      <c r="E7" s="8" t="n">
        <v>489</v>
      </c>
      <c r="F7" s="8" t="n">
        <v>13204</v>
      </c>
      <c r="G7" s="8" t="n">
        <v>21957</v>
      </c>
      <c r="H7" s="8" t="n">
        <v>2874</v>
      </c>
      <c r="I7" s="8" t="n">
        <v>0</v>
      </c>
      <c r="J7" s="8" t="n">
        <v>83483</v>
      </c>
      <c r="K7" s="7" t="s">
        <v>663</v>
      </c>
    </row>
    <row r="8" customFormat="false" ht="14.25" hidden="false" customHeight="true" outlineLevel="0" collapsed="false">
      <c r="A8" s="10" t="n">
        <v>2016</v>
      </c>
      <c r="B8" s="11" t="n">
        <v>7094</v>
      </c>
      <c r="C8" s="11" t="n">
        <v>15585</v>
      </c>
      <c r="D8" s="11" t="n">
        <v>49206</v>
      </c>
      <c r="E8" s="11" t="n">
        <v>1184</v>
      </c>
      <c r="F8" s="11" t="n">
        <v>30433</v>
      </c>
      <c r="G8" s="11" t="n">
        <v>30497</v>
      </c>
      <c r="H8" s="11" t="n">
        <v>3652</v>
      </c>
      <c r="I8" s="11" t="n">
        <v>0</v>
      </c>
      <c r="J8" s="11" t="n">
        <v>107218</v>
      </c>
      <c r="K8" s="10" t="s">
        <v>663</v>
      </c>
    </row>
    <row r="9" customFormat="false" ht="14.25" hidden="false" customHeight="true" outlineLevel="0" collapsed="false">
      <c r="A9" s="7" t="n">
        <v>2017</v>
      </c>
      <c r="B9" s="8" t="n">
        <v>6310</v>
      </c>
      <c r="C9" s="8" t="n">
        <v>13816</v>
      </c>
      <c r="D9" s="8" t="n">
        <v>29418</v>
      </c>
      <c r="E9" s="8" t="n">
        <v>501</v>
      </c>
      <c r="F9" s="8" t="n">
        <v>10232</v>
      </c>
      <c r="G9" s="8" t="n">
        <v>32867</v>
      </c>
      <c r="H9" s="8" t="n">
        <v>6446</v>
      </c>
      <c r="I9" s="8" t="n">
        <v>6234</v>
      </c>
      <c r="J9" s="8" t="n">
        <v>95592</v>
      </c>
      <c r="K9" s="7" t="s">
        <v>663</v>
      </c>
    </row>
    <row r="10" customFormat="false" ht="14.25" hidden="false" customHeight="true" outlineLevel="0" collapsed="false">
      <c r="A10" s="10" t="n">
        <v>2018</v>
      </c>
      <c r="B10" s="11" t="n">
        <v>4606</v>
      </c>
      <c r="C10" s="11" t="n">
        <v>12006</v>
      </c>
      <c r="D10" s="11" t="n">
        <v>25556</v>
      </c>
      <c r="E10" s="11" t="n">
        <v>629</v>
      </c>
      <c r="F10" s="11" t="n">
        <v>1433</v>
      </c>
      <c r="G10" s="11" t="n">
        <v>31267</v>
      </c>
      <c r="H10" s="11" t="n">
        <v>9782</v>
      </c>
      <c r="I10" s="11" t="n">
        <v>6989</v>
      </c>
      <c r="J10" s="11" t="n">
        <v>90835</v>
      </c>
      <c r="K10" s="10" t="s">
        <v>663</v>
      </c>
    </row>
    <row r="11" customFormat="false" ht="14.25" hidden="false" customHeight="true" outlineLevel="0" collapsed="false">
      <c r="A11" s="7" t="n">
        <v>2019</v>
      </c>
      <c r="B11" s="8" t="n">
        <v>4056</v>
      </c>
      <c r="C11" s="8" t="n">
        <v>12344</v>
      </c>
      <c r="D11" s="8" t="n">
        <v>49667</v>
      </c>
      <c r="E11" s="8" t="n">
        <v>3915</v>
      </c>
      <c r="F11" s="8" t="n">
        <v>21426</v>
      </c>
      <c r="G11" s="8" t="n">
        <v>36396</v>
      </c>
      <c r="H11" s="8" t="n">
        <v>10987</v>
      </c>
      <c r="I11" s="8" t="n">
        <v>0</v>
      </c>
      <c r="J11" s="8" t="n">
        <v>117365</v>
      </c>
      <c r="K11" s="7" t="s">
        <v>663</v>
      </c>
    </row>
    <row r="12" customFormat="false" ht="14.25" hidden="false" customHeight="true" outlineLevel="0" collapsed="false">
      <c r="A12" s="10" t="n">
        <v>2020</v>
      </c>
      <c r="B12" s="11" t="n">
        <v>5180</v>
      </c>
      <c r="C12" s="11" t="n">
        <v>14584</v>
      </c>
      <c r="D12" s="11" t="n">
        <v>29591</v>
      </c>
      <c r="E12" s="11" t="n">
        <v>1082</v>
      </c>
      <c r="F12" s="11" t="n">
        <v>15838</v>
      </c>
      <c r="G12" s="11" t="n">
        <v>46626</v>
      </c>
      <c r="H12" s="11" t="n">
        <v>15048</v>
      </c>
      <c r="I12" s="11" t="n">
        <v>8439</v>
      </c>
      <c r="J12" s="11" t="n">
        <v>120550</v>
      </c>
      <c r="K12" s="10" t="s">
        <v>663</v>
      </c>
    </row>
    <row r="13" customFormat="false" ht="14.25" hidden="false" customHeight="true" outlineLevel="0" collapsed="false">
      <c r="A13" s="7" t="n">
        <v>2021</v>
      </c>
      <c r="B13" s="8" t="n">
        <v>3825</v>
      </c>
      <c r="C13" s="8" t="n">
        <v>14960</v>
      </c>
      <c r="D13" s="8" t="n">
        <v>36116</v>
      </c>
      <c r="E13" s="8" t="n">
        <v>828</v>
      </c>
      <c r="F13" s="8" t="n">
        <v>14565</v>
      </c>
      <c r="G13" s="8" t="n">
        <v>53255</v>
      </c>
      <c r="H13" s="8" t="n">
        <v>19583</v>
      </c>
      <c r="I13" s="8" t="n">
        <v>9303</v>
      </c>
      <c r="J13" s="8" t="n">
        <v>137870</v>
      </c>
      <c r="K13" s="7" t="s">
        <v>663</v>
      </c>
    </row>
    <row r="14" customFormat="false" ht="14.25" hidden="false" customHeight="true" outlineLevel="0" collapsed="false">
      <c r="A14" s="10" t="n">
        <v>2022</v>
      </c>
      <c r="B14" s="11" t="n">
        <v>4712</v>
      </c>
      <c r="C14" s="11" t="n">
        <v>14965</v>
      </c>
      <c r="D14" s="11" t="n">
        <v>43791</v>
      </c>
      <c r="E14" s="11" t="n">
        <v>2080</v>
      </c>
      <c r="F14" s="11" t="n">
        <v>13376</v>
      </c>
      <c r="G14" s="11" t="n">
        <v>52765</v>
      </c>
      <c r="H14" s="11" t="n">
        <v>17137</v>
      </c>
      <c r="I14" s="11" t="n">
        <v>0</v>
      </c>
      <c r="J14" s="11" t="n">
        <v>135450</v>
      </c>
      <c r="K14" s="10" t="s">
        <v>663</v>
      </c>
    </row>
    <row r="15" customFormat="false" ht="14.25" hidden="false" customHeight="true" outlineLevel="0" collapsed="false">
      <c r="A15" s="7" t="n">
        <v>2023</v>
      </c>
      <c r="B15" s="8" t="n">
        <v>5518</v>
      </c>
      <c r="C15" s="8" t="n">
        <v>14728</v>
      </c>
      <c r="D15" s="8" t="n">
        <v>37988</v>
      </c>
      <c r="E15" s="8" t="n">
        <v>979</v>
      </c>
      <c r="F15" s="8" t="n">
        <v>14127</v>
      </c>
      <c r="G15" s="8" t="n">
        <v>58013</v>
      </c>
      <c r="H15" s="8" t="n">
        <v>20673</v>
      </c>
      <c r="I15" s="8" t="n">
        <v>0</v>
      </c>
      <c r="J15" s="8" t="n">
        <v>137899</v>
      </c>
      <c r="K15" s="7" t="s">
        <v>663</v>
      </c>
    </row>
    <row r="16" customFormat="false" ht="14.25" hidden="false" customHeight="true" outlineLevel="0" collapsed="false">
      <c r="A16" s="10" t="n">
        <v>2024</v>
      </c>
      <c r="B16" s="11" t="n">
        <v>7391</v>
      </c>
      <c r="C16" s="11" t="n">
        <v>16214</v>
      </c>
      <c r="D16" s="11" t="n">
        <v>40250</v>
      </c>
      <c r="E16" s="11" t="n">
        <v>344</v>
      </c>
      <c r="F16" s="11" t="n">
        <v>17246</v>
      </c>
      <c r="G16" s="11" t="n">
        <v>77832</v>
      </c>
      <c r="H16" s="11" t="n">
        <v>25391</v>
      </c>
      <c r="I16" s="11" t="n">
        <v>0</v>
      </c>
      <c r="J16" s="11" t="n">
        <v>167422</v>
      </c>
      <c r="K16" s="10" t="s">
        <v>663</v>
      </c>
    </row>
    <row r="18" customFormat="false" ht="14.25" hidden="false" customHeight="true" outlineLevel="0" collapsed="false">
      <c r="A18" s="13" t="s">
        <v>664</v>
      </c>
      <c r="B18" s="20" t="n">
        <f aca="false">SUM(B5:B17)</f>
        <v>63067</v>
      </c>
      <c r="C18" s="20" t="n">
        <f aca="false">SUM(C5:C17)</f>
        <v>151934</v>
      </c>
      <c r="D18" s="20" t="n">
        <f aca="false">SUM(D5:D17)</f>
        <v>457048</v>
      </c>
      <c r="E18" s="20" t="n">
        <f aca="false">SUM(E5:E17)</f>
        <v>16878</v>
      </c>
      <c r="F18" s="20" t="n">
        <f aca="false">SUM(F5:F17)</f>
        <v>206373</v>
      </c>
      <c r="G18" s="20" t="n">
        <f aca="false">SUM(G5:G17)</f>
        <v>469536</v>
      </c>
      <c r="H18" s="20" t="n">
        <f aca="false">SUM(H5:H17)</f>
        <v>135087</v>
      </c>
      <c r="I18" s="20" t="n">
        <f aca="false">SUM(I5:I16)</f>
        <v>30965</v>
      </c>
      <c r="J18" s="20" t="n">
        <f aca="false">SUM(J5:J17)</f>
        <v>1324515</v>
      </c>
    </row>
    <row r="20" customFormat="false" ht="26.25" hidden="false" customHeight="true" outlineLevel="0" collapsed="false">
      <c r="A20" s="19" t="s">
        <v>665</v>
      </c>
      <c r="B20" s="19"/>
      <c r="C20" s="19"/>
      <c r="D20" s="19"/>
      <c r="E20" s="19"/>
      <c r="F20" s="19"/>
      <c r="G20" s="19"/>
      <c r="H20" s="19"/>
    </row>
  </sheetData>
  <mergeCells count="3">
    <mergeCell ref="A1:K1"/>
    <mergeCell ref="A2:K2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8" min="8" style="1" width="16"/>
  </cols>
  <sheetData>
    <row r="1" customFormat="false" ht="30" hidden="false" customHeight="true" outlineLevel="0" collapsed="false">
      <c r="A1" s="2" t="s">
        <v>666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667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6.25" hidden="false" customHeight="true" outlineLevel="0" collapsed="false">
      <c r="A4" s="4" t="s">
        <v>86</v>
      </c>
      <c r="B4" s="4" t="s">
        <v>668</v>
      </c>
      <c r="C4" s="4" t="s">
        <v>669</v>
      </c>
      <c r="D4" s="4" t="s">
        <v>670</v>
      </c>
      <c r="E4" s="4" t="s">
        <v>671</v>
      </c>
      <c r="F4" s="4" t="s">
        <v>672</v>
      </c>
      <c r="G4" s="4" t="s">
        <v>673</v>
      </c>
      <c r="H4" s="4" t="s">
        <v>649</v>
      </c>
    </row>
    <row r="5" customFormat="false" ht="14.25" hidden="false" customHeight="true" outlineLevel="0" collapsed="false">
      <c r="A5" s="7" t="n">
        <v>2015</v>
      </c>
      <c r="B5" s="8" t="n">
        <v>1100</v>
      </c>
      <c r="C5" s="7" t="n">
        <v>6500</v>
      </c>
      <c r="D5" s="8" t="n">
        <v>440000</v>
      </c>
      <c r="E5" s="8" t="n">
        <v>1087262</v>
      </c>
      <c r="F5" s="9" t="n">
        <v>336.21</v>
      </c>
      <c r="G5" s="7"/>
      <c r="H5" s="7" t="s">
        <v>674</v>
      </c>
    </row>
    <row r="6" customFormat="false" ht="14.25" hidden="false" customHeight="true" outlineLevel="0" collapsed="false">
      <c r="A6" s="10" t="n">
        <v>2016</v>
      </c>
      <c r="B6" s="11" t="n">
        <v>1350</v>
      </c>
      <c r="C6" s="10" t="n">
        <v>6700</v>
      </c>
      <c r="D6" s="11" t="n">
        <v>442000</v>
      </c>
      <c r="E6" s="11" t="n">
        <v>1092204</v>
      </c>
      <c r="F6" s="12" t="n">
        <v>270.38</v>
      </c>
      <c r="G6" s="21" t="n">
        <f aca="false">IF(F5&lt;&gt;"",ROUND((F6-F5)/F5*100,1),"")</f>
        <v>-19.6</v>
      </c>
      <c r="H6" s="10" t="s">
        <v>674</v>
      </c>
    </row>
    <row r="7" customFormat="false" ht="14.25" hidden="false" customHeight="true" outlineLevel="0" collapsed="false">
      <c r="A7" s="7" t="n">
        <v>2017</v>
      </c>
      <c r="B7" s="8" t="n">
        <v>1650</v>
      </c>
      <c r="C7" s="7" t="n">
        <v>6900</v>
      </c>
      <c r="D7" s="8" t="n">
        <v>409244</v>
      </c>
      <c r="E7" s="8" t="n">
        <v>1011262</v>
      </c>
      <c r="F7" s="9" t="n">
        <v>458.96</v>
      </c>
      <c r="G7" s="22" t="n">
        <f aca="false">IF(F6&lt;&gt;"",ROUND((F7-F6)/F6*100,1),"")</f>
        <v>69.7</v>
      </c>
      <c r="H7" s="7" t="s">
        <v>674</v>
      </c>
    </row>
    <row r="8" customFormat="false" ht="14.25" hidden="false" customHeight="true" outlineLevel="0" collapsed="false">
      <c r="A8" s="10" t="n">
        <v>2018</v>
      </c>
      <c r="B8" s="11" t="n">
        <v>1500</v>
      </c>
      <c r="C8" s="10" t="n">
        <v>7100</v>
      </c>
      <c r="D8" s="11" t="n">
        <v>412000</v>
      </c>
      <c r="E8" s="11" t="n">
        <v>1018073</v>
      </c>
      <c r="F8" s="12" t="n">
        <v>481.23</v>
      </c>
      <c r="G8" s="21" t="n">
        <f aca="false">IF(F7&lt;&gt;"",ROUND((F8-F7)/F7*100,1),"")</f>
        <v>4.9</v>
      </c>
      <c r="H8" s="10" t="s">
        <v>674</v>
      </c>
    </row>
    <row r="9" customFormat="false" ht="14.25" hidden="false" customHeight="true" outlineLevel="0" collapsed="false">
      <c r="A9" s="7" t="n">
        <v>2019</v>
      </c>
      <c r="B9" s="8" t="n">
        <v>1150</v>
      </c>
      <c r="C9" s="7" t="n">
        <v>6800</v>
      </c>
      <c r="D9" s="8" t="n">
        <v>435000</v>
      </c>
      <c r="E9" s="8" t="n">
        <v>1074907</v>
      </c>
      <c r="F9" s="9" t="n">
        <v>262.25</v>
      </c>
      <c r="G9" s="22" t="n">
        <f aca="false">IF(F8&lt;&gt;"",ROUND((F9-F8)/F8*100,1),"")</f>
        <v>-45.5</v>
      </c>
      <c r="H9" s="7" t="s">
        <v>674</v>
      </c>
    </row>
    <row r="10" customFormat="false" ht="14.25" hidden="false" customHeight="true" outlineLevel="0" collapsed="false">
      <c r="A10" s="10" t="n">
        <v>2020</v>
      </c>
      <c r="B10" s="11" t="n">
        <v>1250</v>
      </c>
      <c r="C10" s="10" t="n">
        <v>6600</v>
      </c>
      <c r="D10" s="11" t="n">
        <v>444000</v>
      </c>
      <c r="E10" s="11" t="n">
        <v>1097146</v>
      </c>
      <c r="F10" s="12" t="n">
        <v>495.42</v>
      </c>
      <c r="G10" s="21" t="n">
        <f aca="false">IF(F9&lt;&gt;"",ROUND((F10-F9)/F9*100,1),"")</f>
        <v>88.9</v>
      </c>
      <c r="H10" s="10" t="s">
        <v>674</v>
      </c>
    </row>
    <row r="11" customFormat="false" ht="14.25" hidden="false" customHeight="true" outlineLevel="0" collapsed="false">
      <c r="A11" s="7" t="n">
        <v>2021</v>
      </c>
      <c r="B11" s="8" t="n">
        <v>1800</v>
      </c>
      <c r="C11" s="7" t="n">
        <v>7000</v>
      </c>
      <c r="D11" s="8" t="n">
        <v>445000</v>
      </c>
      <c r="E11" s="8" t="n">
        <v>1099617</v>
      </c>
      <c r="F11" s="9" t="n">
        <v>561.93</v>
      </c>
      <c r="G11" s="22" t="n">
        <f aca="false">IF(F10&lt;&gt;"",ROUND((F11-F10)/F10*100,1),"")</f>
        <v>13.4</v>
      </c>
      <c r="H11" s="7" t="s">
        <v>674</v>
      </c>
    </row>
    <row r="12" customFormat="false" ht="14.25" hidden="false" customHeight="true" outlineLevel="0" collapsed="false">
      <c r="A12" s="10" t="n">
        <v>2022</v>
      </c>
      <c r="B12" s="11" t="n">
        <v>2000</v>
      </c>
      <c r="C12" s="10" t="n">
        <v>7200</v>
      </c>
      <c r="D12" s="11" t="n">
        <v>444000</v>
      </c>
      <c r="E12" s="11" t="n">
        <v>1097146</v>
      </c>
      <c r="F12" s="12" t="n">
        <v>602.12</v>
      </c>
      <c r="G12" s="21" t="n">
        <f aca="false">IF(F11&lt;&gt;"",ROUND((F12-F11)/F11*100,1),"")</f>
        <v>7.2</v>
      </c>
      <c r="H12" s="10" t="s">
        <v>674</v>
      </c>
    </row>
    <row r="13" customFormat="false" ht="14.25" hidden="false" customHeight="true" outlineLevel="0" collapsed="false">
      <c r="A13" s="7" t="n">
        <v>2023</v>
      </c>
      <c r="B13" s="8" t="n">
        <v>1500</v>
      </c>
      <c r="C13" s="7" t="n">
        <v>6500</v>
      </c>
      <c r="D13" s="8" t="n">
        <v>445000</v>
      </c>
      <c r="E13" s="8" t="n">
        <v>1099617</v>
      </c>
      <c r="F13" s="9" t="n">
        <v>709.57</v>
      </c>
      <c r="G13" s="22" t="n">
        <f aca="false">IF(F12&lt;&gt;"",ROUND((F13-F12)/F12*100,1),"")</f>
        <v>17.8</v>
      </c>
      <c r="H13" s="7" t="s">
        <v>674</v>
      </c>
    </row>
    <row r="14" customFormat="false" ht="14.25" hidden="false" customHeight="true" outlineLevel="0" collapsed="false">
      <c r="A14" s="10" t="n">
        <v>2024</v>
      </c>
      <c r="B14" s="11" t="n">
        <v>1911</v>
      </c>
      <c r="C14" s="10" t="n">
        <v>6700</v>
      </c>
      <c r="D14" s="11" t="n">
        <v>455000</v>
      </c>
      <c r="E14" s="11" t="n">
        <v>1124328</v>
      </c>
      <c r="F14" s="12" t="n">
        <v>795.59</v>
      </c>
      <c r="G14" s="21" t="n">
        <f aca="false">IF(F13&lt;&gt;"",ROUND((F14-F13)/F13*100,1),"")</f>
        <v>12.1</v>
      </c>
      <c r="H14" s="10" t="s">
        <v>674</v>
      </c>
    </row>
    <row r="17" customFormat="false" ht="38.25" hidden="false" customHeight="true" outlineLevel="0" collapsed="false">
      <c r="A17" s="19" t="s">
        <v>675</v>
      </c>
      <c r="B17" s="19"/>
      <c r="C17" s="19"/>
      <c r="D17" s="19"/>
      <c r="E17" s="19"/>
      <c r="F17" s="19"/>
      <c r="G17" s="19"/>
    </row>
  </sheetData>
  <mergeCells count="3">
    <mergeCell ref="A1:J1"/>
    <mergeCell ref="A2:J2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8"/>
  <sheetViews>
    <sheetView showFormulas="false" showGridLines="true" showRowColHeaders="true" showZeros="true" rightToLeft="false" tabSelected="false" showOutlineSymbols="true" defaultGridColor="true" view="normal" topLeftCell="A112" colorId="64" zoomScale="100" zoomScaleNormal="100" zoomScalePageLayoutView="100" workbookViewId="0">
      <selection pane="topLeft" activeCell="L11" activeCellId="0" sqref="L1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6" min="6" style="1" width="18"/>
    <col collapsed="false" customWidth="true" hidden="false" outlineLevel="0" max="7" min="7" style="1" width="21.77"/>
    <col collapsed="false" customWidth="true" hidden="false" outlineLevel="0" max="8" min="8" style="1" width="46.11"/>
  </cols>
  <sheetData>
    <row r="1" customFormat="false" ht="30" hidden="false" customHeight="true" outlineLevel="0" collapsed="false">
      <c r="A1" s="2" t="s">
        <v>676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677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4" t="s">
        <v>86</v>
      </c>
      <c r="B4" s="4" t="s">
        <v>87</v>
      </c>
      <c r="C4" s="4" t="s">
        <v>678</v>
      </c>
      <c r="D4" s="4" t="s">
        <v>679</v>
      </c>
      <c r="E4" s="4" t="s">
        <v>680</v>
      </c>
      <c r="F4" s="4" t="s">
        <v>681</v>
      </c>
      <c r="G4" s="4" t="s">
        <v>682</v>
      </c>
      <c r="H4" s="4" t="s">
        <v>649</v>
      </c>
    </row>
    <row r="5" customFormat="false" ht="14.25" hidden="false" customHeight="true" outlineLevel="0" collapsed="false">
      <c r="A5" s="16" t="n">
        <v>2015</v>
      </c>
      <c r="B5" s="16" t="s">
        <v>96</v>
      </c>
      <c r="C5" s="16" t="n">
        <v>45.6</v>
      </c>
      <c r="D5" s="16" t="n">
        <v>25.6</v>
      </c>
      <c r="E5" s="16" t="n">
        <v>40</v>
      </c>
      <c r="F5" s="16" t="s">
        <v>683</v>
      </c>
      <c r="G5" s="16"/>
      <c r="H5" s="16" t="s">
        <v>684</v>
      </c>
    </row>
    <row r="6" customFormat="false" ht="14.25" hidden="false" customHeight="true" outlineLevel="0" collapsed="false">
      <c r="A6" s="10" t="n">
        <v>2015</v>
      </c>
      <c r="B6" s="10" t="s">
        <v>102</v>
      </c>
      <c r="C6" s="10" t="n">
        <v>21.2</v>
      </c>
      <c r="D6" s="10" t="n">
        <v>24.7</v>
      </c>
      <c r="E6" s="10" t="n">
        <v>48.9</v>
      </c>
      <c r="F6" s="10" t="s">
        <v>683</v>
      </c>
      <c r="G6" s="10"/>
      <c r="H6" s="10" t="s">
        <v>684</v>
      </c>
    </row>
    <row r="7" customFormat="false" ht="14.25" hidden="false" customHeight="true" outlineLevel="0" collapsed="false">
      <c r="A7" s="16" t="n">
        <v>2015</v>
      </c>
      <c r="B7" s="16" t="s">
        <v>107</v>
      </c>
      <c r="C7" s="16" t="n">
        <v>84.8</v>
      </c>
      <c r="D7" s="16" t="n">
        <v>27.6</v>
      </c>
      <c r="E7" s="16" t="n">
        <v>42.6</v>
      </c>
      <c r="F7" s="16"/>
      <c r="G7" s="16"/>
      <c r="H7" s="16" t="s">
        <v>684</v>
      </c>
    </row>
    <row r="8" customFormat="false" ht="14.25" hidden="false" customHeight="true" outlineLevel="0" collapsed="false">
      <c r="A8" s="10" t="n">
        <v>2015</v>
      </c>
      <c r="B8" s="10" t="s">
        <v>113</v>
      </c>
      <c r="C8" s="10" t="n">
        <v>185.7</v>
      </c>
      <c r="D8" s="10" t="n">
        <v>26.9</v>
      </c>
      <c r="E8" s="10" t="n">
        <v>40</v>
      </c>
      <c r="F8" s="10"/>
      <c r="G8" s="10" t="n">
        <v>45.6</v>
      </c>
      <c r="H8" s="10" t="s">
        <v>684</v>
      </c>
    </row>
    <row r="9" customFormat="false" ht="14.25" hidden="false" customHeight="true" outlineLevel="0" collapsed="false">
      <c r="A9" s="16" t="n">
        <v>2015</v>
      </c>
      <c r="B9" s="16" t="s">
        <v>118</v>
      </c>
      <c r="C9" s="16" t="n">
        <v>196.9</v>
      </c>
      <c r="D9" s="16" t="n">
        <v>30</v>
      </c>
      <c r="E9" s="16" t="n">
        <v>40</v>
      </c>
      <c r="F9" s="16"/>
      <c r="G9" s="16" t="n">
        <v>21.2</v>
      </c>
      <c r="H9" s="16" t="s">
        <v>684</v>
      </c>
    </row>
    <row r="10" customFormat="false" ht="14.25" hidden="false" customHeight="true" outlineLevel="0" collapsed="false">
      <c r="A10" s="10" t="n">
        <v>2015</v>
      </c>
      <c r="B10" s="10" t="s">
        <v>123</v>
      </c>
      <c r="C10" s="10" t="n">
        <v>207.6</v>
      </c>
      <c r="D10" s="10" t="n">
        <v>32.4</v>
      </c>
      <c r="E10" s="10" t="n">
        <v>40</v>
      </c>
      <c r="F10" s="10"/>
      <c r="G10" s="10" t="n">
        <v>84.8</v>
      </c>
      <c r="H10" s="10" t="s">
        <v>684</v>
      </c>
    </row>
    <row r="11" customFormat="false" ht="14.25" hidden="false" customHeight="true" outlineLevel="0" collapsed="false">
      <c r="A11" s="16" t="n">
        <v>2015</v>
      </c>
      <c r="B11" s="16" t="s">
        <v>129</v>
      </c>
      <c r="C11" s="16" t="n">
        <v>216.7</v>
      </c>
      <c r="D11" s="16" t="n">
        <v>30.2</v>
      </c>
      <c r="E11" s="16" t="n">
        <v>89.1</v>
      </c>
      <c r="F11" s="16"/>
      <c r="G11" s="16" t="n">
        <v>185.7</v>
      </c>
      <c r="H11" s="16" t="s">
        <v>684</v>
      </c>
    </row>
    <row r="12" customFormat="false" ht="14.25" hidden="false" customHeight="true" outlineLevel="0" collapsed="false">
      <c r="A12" s="10" t="n">
        <v>2015</v>
      </c>
      <c r="B12" s="10" t="s">
        <v>134</v>
      </c>
      <c r="C12" s="10" t="n">
        <v>128.4</v>
      </c>
      <c r="D12" s="10" t="n">
        <v>30.1</v>
      </c>
      <c r="E12" s="10" t="n">
        <v>93.2</v>
      </c>
      <c r="F12" s="10"/>
      <c r="G12" s="10" t="n">
        <v>196.9</v>
      </c>
      <c r="H12" s="10" t="s">
        <v>684</v>
      </c>
    </row>
    <row r="13" customFormat="false" ht="14.25" hidden="false" customHeight="true" outlineLevel="0" collapsed="false">
      <c r="A13" s="16" t="n">
        <v>2015</v>
      </c>
      <c r="B13" s="16" t="s">
        <v>140</v>
      </c>
      <c r="C13" s="16" t="n">
        <v>51.3</v>
      </c>
      <c r="D13" s="16" t="n">
        <v>29.6</v>
      </c>
      <c r="E13" s="16" t="n">
        <v>110</v>
      </c>
      <c r="F13" s="16" t="s">
        <v>683</v>
      </c>
      <c r="G13" s="16" t="n">
        <v>207.6</v>
      </c>
      <c r="H13" s="16" t="s">
        <v>684</v>
      </c>
    </row>
    <row r="14" customFormat="false" ht="14.25" hidden="false" customHeight="true" outlineLevel="0" collapsed="false">
      <c r="A14" s="10" t="n">
        <v>2015</v>
      </c>
      <c r="B14" s="10" t="s">
        <v>145</v>
      </c>
      <c r="C14" s="10" t="n">
        <v>76.3</v>
      </c>
      <c r="D14" s="10" t="n">
        <v>27.6</v>
      </c>
      <c r="E14" s="10" t="n">
        <v>110</v>
      </c>
      <c r="F14" s="10"/>
      <c r="G14" s="10" t="n">
        <v>216.7</v>
      </c>
      <c r="H14" s="10" t="s">
        <v>684</v>
      </c>
    </row>
    <row r="15" customFormat="false" ht="14.25" hidden="false" customHeight="true" outlineLevel="0" collapsed="false">
      <c r="A15" s="16" t="n">
        <v>2015</v>
      </c>
      <c r="B15" s="16" t="s">
        <v>150</v>
      </c>
      <c r="C15" s="16" t="n">
        <v>51.5</v>
      </c>
      <c r="D15" s="16" t="n">
        <v>25.3</v>
      </c>
      <c r="E15" s="16" t="n">
        <v>54.1</v>
      </c>
      <c r="F15" s="16" t="s">
        <v>683</v>
      </c>
      <c r="G15" s="16" t="n">
        <v>128.4</v>
      </c>
      <c r="H15" s="16" t="s">
        <v>684</v>
      </c>
    </row>
    <row r="16" customFormat="false" ht="14.25" hidden="false" customHeight="true" outlineLevel="0" collapsed="false">
      <c r="A16" s="10" t="n">
        <v>2015</v>
      </c>
      <c r="B16" s="10" t="s">
        <v>156</v>
      </c>
      <c r="C16" s="10" t="n">
        <v>40.7</v>
      </c>
      <c r="D16" s="10" t="n">
        <v>25.5</v>
      </c>
      <c r="E16" s="10" t="n">
        <v>40</v>
      </c>
      <c r="F16" s="10" t="s">
        <v>683</v>
      </c>
      <c r="G16" s="10" t="n">
        <v>51.3</v>
      </c>
      <c r="H16" s="10" t="s">
        <v>684</v>
      </c>
    </row>
    <row r="17" customFormat="false" ht="14.25" hidden="false" customHeight="true" outlineLevel="0" collapsed="false">
      <c r="A17" s="16" t="n">
        <v>2016</v>
      </c>
      <c r="B17" s="16" t="s">
        <v>96</v>
      </c>
      <c r="C17" s="16" t="n">
        <v>38</v>
      </c>
      <c r="D17" s="16" t="n">
        <v>24.2</v>
      </c>
      <c r="E17" s="16" t="n">
        <v>55.1</v>
      </c>
      <c r="F17" s="16" t="s">
        <v>683</v>
      </c>
      <c r="G17" s="16" t="n">
        <v>76.3</v>
      </c>
      <c r="H17" s="16" t="s">
        <v>684</v>
      </c>
    </row>
    <row r="18" customFormat="false" ht="14.25" hidden="false" customHeight="true" outlineLevel="0" collapsed="false">
      <c r="A18" s="10" t="n">
        <v>2016</v>
      </c>
      <c r="B18" s="10" t="s">
        <v>102</v>
      </c>
      <c r="C18" s="10" t="n">
        <v>10</v>
      </c>
      <c r="D18" s="10" t="n">
        <v>25.8</v>
      </c>
      <c r="E18" s="10" t="n">
        <v>40</v>
      </c>
      <c r="F18" s="10" t="s">
        <v>683</v>
      </c>
      <c r="G18" s="10" t="n">
        <v>51.5</v>
      </c>
      <c r="H18" s="10" t="s">
        <v>684</v>
      </c>
    </row>
    <row r="19" customFormat="false" ht="14.25" hidden="false" customHeight="true" outlineLevel="0" collapsed="false">
      <c r="A19" s="16" t="n">
        <v>2016</v>
      </c>
      <c r="B19" s="16" t="s">
        <v>107</v>
      </c>
      <c r="C19" s="16" t="n">
        <v>13.6</v>
      </c>
      <c r="D19" s="16" t="n">
        <v>25.8</v>
      </c>
      <c r="E19" s="16" t="n">
        <v>40</v>
      </c>
      <c r="F19" s="16" t="s">
        <v>683</v>
      </c>
      <c r="G19" s="16" t="n">
        <v>40.7</v>
      </c>
      <c r="H19" s="16" t="s">
        <v>684</v>
      </c>
    </row>
    <row r="20" customFormat="false" ht="14.25" hidden="false" customHeight="true" outlineLevel="0" collapsed="false">
      <c r="A20" s="10" t="n">
        <v>2016</v>
      </c>
      <c r="B20" s="10" t="s">
        <v>113</v>
      </c>
      <c r="C20" s="10" t="n">
        <v>123.1</v>
      </c>
      <c r="D20" s="10" t="n">
        <v>29.2</v>
      </c>
      <c r="E20" s="10" t="n">
        <v>40</v>
      </c>
      <c r="F20" s="10"/>
      <c r="G20" s="10" t="n">
        <v>38</v>
      </c>
      <c r="H20" s="10" t="s">
        <v>684</v>
      </c>
    </row>
    <row r="21" customFormat="false" ht="14.25" hidden="false" customHeight="true" outlineLevel="0" collapsed="false">
      <c r="A21" s="16" t="n">
        <v>2016</v>
      </c>
      <c r="B21" s="16" t="s">
        <v>118</v>
      </c>
      <c r="C21" s="16" t="n">
        <v>173.5</v>
      </c>
      <c r="D21" s="16" t="n">
        <v>28.9</v>
      </c>
      <c r="E21" s="16" t="n">
        <v>40</v>
      </c>
      <c r="F21" s="16"/>
      <c r="G21" s="16" t="n">
        <v>10</v>
      </c>
      <c r="H21" s="16" t="s">
        <v>684</v>
      </c>
    </row>
    <row r="22" customFormat="false" ht="14.25" hidden="false" customHeight="true" outlineLevel="0" collapsed="false">
      <c r="A22" s="10" t="n">
        <v>2016</v>
      </c>
      <c r="B22" s="10" t="s">
        <v>123</v>
      </c>
      <c r="C22" s="10" t="n">
        <v>224.1</v>
      </c>
      <c r="D22" s="10" t="n">
        <v>30.3</v>
      </c>
      <c r="E22" s="10" t="n">
        <v>40</v>
      </c>
      <c r="F22" s="10"/>
      <c r="G22" s="10" t="n">
        <v>13.6</v>
      </c>
      <c r="H22" s="10" t="s">
        <v>684</v>
      </c>
    </row>
    <row r="23" customFormat="false" ht="14.25" hidden="false" customHeight="true" outlineLevel="0" collapsed="false">
      <c r="A23" s="16" t="n">
        <v>2016</v>
      </c>
      <c r="B23" s="16" t="s">
        <v>129</v>
      </c>
      <c r="C23" s="16" t="n">
        <v>142</v>
      </c>
      <c r="D23" s="16" t="n">
        <v>31.7</v>
      </c>
      <c r="E23" s="16" t="n">
        <v>65.1</v>
      </c>
      <c r="F23" s="16"/>
      <c r="G23" s="16" t="n">
        <v>123.1</v>
      </c>
      <c r="H23" s="16" t="s">
        <v>684</v>
      </c>
    </row>
    <row r="24" customFormat="false" ht="14.25" hidden="false" customHeight="true" outlineLevel="0" collapsed="false">
      <c r="A24" s="10" t="n">
        <v>2016</v>
      </c>
      <c r="B24" s="10" t="s">
        <v>134</v>
      </c>
      <c r="C24" s="10" t="n">
        <v>63</v>
      </c>
      <c r="D24" s="10" t="n">
        <v>29.6</v>
      </c>
      <c r="E24" s="10" t="n">
        <v>92.9</v>
      </c>
      <c r="F24" s="10"/>
      <c r="G24" s="10" t="n">
        <v>173.5</v>
      </c>
      <c r="H24" s="10" t="s">
        <v>684</v>
      </c>
    </row>
    <row r="25" customFormat="false" ht="14.25" hidden="false" customHeight="true" outlineLevel="0" collapsed="false">
      <c r="A25" s="16" t="n">
        <v>2016</v>
      </c>
      <c r="B25" s="16" t="s">
        <v>140</v>
      </c>
      <c r="C25" s="16" t="n">
        <v>109.3</v>
      </c>
      <c r="D25" s="16" t="n">
        <v>29.7</v>
      </c>
      <c r="E25" s="16" t="n">
        <v>104.6</v>
      </c>
      <c r="F25" s="16"/>
      <c r="G25" s="16" t="n">
        <v>224.1</v>
      </c>
      <c r="H25" s="16" t="s">
        <v>684</v>
      </c>
    </row>
    <row r="26" customFormat="false" ht="14.25" hidden="false" customHeight="true" outlineLevel="0" collapsed="false">
      <c r="A26" s="10" t="n">
        <v>2016</v>
      </c>
      <c r="B26" s="10" t="s">
        <v>145</v>
      </c>
      <c r="C26" s="10" t="n">
        <v>53.2</v>
      </c>
      <c r="D26" s="10" t="n">
        <v>29</v>
      </c>
      <c r="E26" s="10" t="n">
        <v>70.5</v>
      </c>
      <c r="F26" s="10" t="s">
        <v>683</v>
      </c>
      <c r="G26" s="10" t="n">
        <v>142</v>
      </c>
      <c r="H26" s="10" t="s">
        <v>684</v>
      </c>
    </row>
    <row r="27" customFormat="false" ht="14.25" hidden="false" customHeight="true" outlineLevel="0" collapsed="false">
      <c r="A27" s="16" t="n">
        <v>2016</v>
      </c>
      <c r="B27" s="16" t="s">
        <v>150</v>
      </c>
      <c r="C27" s="16" t="n">
        <v>67.4</v>
      </c>
      <c r="D27" s="16" t="n">
        <v>25.2</v>
      </c>
      <c r="E27" s="16" t="n">
        <v>40</v>
      </c>
      <c r="F27" s="16"/>
      <c r="G27" s="16" t="n">
        <v>63</v>
      </c>
      <c r="H27" s="16" t="s">
        <v>684</v>
      </c>
    </row>
    <row r="28" customFormat="false" ht="14.25" hidden="false" customHeight="true" outlineLevel="0" collapsed="false">
      <c r="A28" s="10" t="n">
        <v>2016</v>
      </c>
      <c r="B28" s="10" t="s">
        <v>156</v>
      </c>
      <c r="C28" s="10" t="n">
        <v>11.9</v>
      </c>
      <c r="D28" s="10" t="n">
        <v>25.5</v>
      </c>
      <c r="E28" s="10" t="n">
        <v>46.5</v>
      </c>
      <c r="F28" s="10" t="s">
        <v>683</v>
      </c>
      <c r="G28" s="10" t="n">
        <v>109.3</v>
      </c>
      <c r="H28" s="10" t="s">
        <v>684</v>
      </c>
    </row>
    <row r="29" customFormat="false" ht="14.25" hidden="false" customHeight="true" outlineLevel="0" collapsed="false">
      <c r="A29" s="16" t="n">
        <v>2017</v>
      </c>
      <c r="B29" s="16" t="s">
        <v>96</v>
      </c>
      <c r="C29" s="16" t="n">
        <v>14.4</v>
      </c>
      <c r="D29" s="16" t="n">
        <v>25.2</v>
      </c>
      <c r="E29" s="16" t="n">
        <v>40</v>
      </c>
      <c r="F29" s="16" t="s">
        <v>683</v>
      </c>
      <c r="G29" s="16" t="n">
        <v>53.2</v>
      </c>
      <c r="H29" s="16" t="s">
        <v>684</v>
      </c>
    </row>
    <row r="30" customFormat="false" ht="14.25" hidden="false" customHeight="true" outlineLevel="0" collapsed="false">
      <c r="A30" s="10" t="n">
        <v>2017</v>
      </c>
      <c r="B30" s="10" t="s">
        <v>102</v>
      </c>
      <c r="C30" s="10" t="n">
        <v>28.7</v>
      </c>
      <c r="D30" s="10" t="n">
        <v>26</v>
      </c>
      <c r="E30" s="10" t="n">
        <v>40</v>
      </c>
      <c r="F30" s="10" t="s">
        <v>683</v>
      </c>
      <c r="G30" s="10" t="n">
        <v>67.4</v>
      </c>
      <c r="H30" s="10" t="s">
        <v>684</v>
      </c>
    </row>
    <row r="31" customFormat="false" ht="14.25" hidden="false" customHeight="true" outlineLevel="0" collapsed="false">
      <c r="A31" s="16" t="n">
        <v>2017</v>
      </c>
      <c r="B31" s="16" t="s">
        <v>107</v>
      </c>
      <c r="C31" s="16" t="n">
        <v>30.8</v>
      </c>
      <c r="D31" s="16" t="n">
        <v>25.5</v>
      </c>
      <c r="E31" s="16" t="n">
        <v>40</v>
      </c>
      <c r="F31" s="16" t="s">
        <v>683</v>
      </c>
      <c r="G31" s="16" t="n">
        <v>11.9</v>
      </c>
      <c r="H31" s="16" t="s">
        <v>684</v>
      </c>
    </row>
    <row r="32" customFormat="false" ht="14.25" hidden="false" customHeight="true" outlineLevel="0" collapsed="false">
      <c r="A32" s="10" t="n">
        <v>2017</v>
      </c>
      <c r="B32" s="10" t="s">
        <v>113</v>
      </c>
      <c r="C32" s="10" t="n">
        <v>151.3</v>
      </c>
      <c r="D32" s="10" t="n">
        <v>26.9</v>
      </c>
      <c r="E32" s="10" t="n">
        <v>40</v>
      </c>
      <c r="F32" s="10"/>
      <c r="G32" s="10" t="n">
        <v>14.4</v>
      </c>
      <c r="H32" s="10" t="s">
        <v>684</v>
      </c>
    </row>
    <row r="33" customFormat="false" ht="14.25" hidden="false" customHeight="true" outlineLevel="0" collapsed="false">
      <c r="A33" s="16" t="n">
        <v>2017</v>
      </c>
      <c r="B33" s="16" t="s">
        <v>118</v>
      </c>
      <c r="C33" s="16" t="n">
        <v>185.9</v>
      </c>
      <c r="D33" s="16" t="n">
        <v>29.9</v>
      </c>
      <c r="E33" s="16" t="n">
        <v>40</v>
      </c>
      <c r="F33" s="16"/>
      <c r="G33" s="16" t="n">
        <v>28.7</v>
      </c>
      <c r="H33" s="16" t="s">
        <v>684</v>
      </c>
    </row>
    <row r="34" customFormat="false" ht="14.25" hidden="false" customHeight="true" outlineLevel="0" collapsed="false">
      <c r="A34" s="10" t="n">
        <v>2017</v>
      </c>
      <c r="B34" s="10" t="s">
        <v>123</v>
      </c>
      <c r="C34" s="10" t="n">
        <v>205.9</v>
      </c>
      <c r="D34" s="10" t="n">
        <v>30.8</v>
      </c>
      <c r="E34" s="10" t="n">
        <v>40</v>
      </c>
      <c r="F34" s="10"/>
      <c r="G34" s="10" t="n">
        <v>30.8</v>
      </c>
      <c r="H34" s="10" t="s">
        <v>684</v>
      </c>
    </row>
    <row r="35" customFormat="false" ht="14.25" hidden="false" customHeight="true" outlineLevel="0" collapsed="false">
      <c r="A35" s="16" t="n">
        <v>2017</v>
      </c>
      <c r="B35" s="16" t="s">
        <v>129</v>
      </c>
      <c r="C35" s="16" t="n">
        <v>151.2</v>
      </c>
      <c r="D35" s="16" t="n">
        <v>31.2</v>
      </c>
      <c r="E35" s="16" t="n">
        <v>87.2</v>
      </c>
      <c r="F35" s="16"/>
      <c r="G35" s="16" t="n">
        <v>151.3</v>
      </c>
      <c r="H35" s="16" t="s">
        <v>684</v>
      </c>
    </row>
    <row r="36" customFormat="false" ht="14.25" hidden="false" customHeight="true" outlineLevel="0" collapsed="false">
      <c r="A36" s="10" t="n">
        <v>2017</v>
      </c>
      <c r="B36" s="10" t="s">
        <v>134</v>
      </c>
      <c r="C36" s="10" t="n">
        <v>160.9</v>
      </c>
      <c r="D36" s="10" t="n">
        <v>30.9</v>
      </c>
      <c r="E36" s="10" t="n">
        <v>81.5</v>
      </c>
      <c r="F36" s="10"/>
      <c r="G36" s="10" t="n">
        <v>185.9</v>
      </c>
      <c r="H36" s="10" t="s">
        <v>684</v>
      </c>
    </row>
    <row r="37" customFormat="false" ht="14.25" hidden="false" customHeight="true" outlineLevel="0" collapsed="false">
      <c r="A37" s="16" t="n">
        <v>2017</v>
      </c>
      <c r="B37" s="16" t="s">
        <v>140</v>
      </c>
      <c r="C37" s="16" t="n">
        <v>65</v>
      </c>
      <c r="D37" s="16" t="n">
        <v>29</v>
      </c>
      <c r="E37" s="16" t="n">
        <v>110</v>
      </c>
      <c r="F37" s="16"/>
      <c r="G37" s="16" t="n">
        <v>205.9</v>
      </c>
      <c r="H37" s="16" t="s">
        <v>684</v>
      </c>
    </row>
    <row r="38" customFormat="false" ht="14.25" hidden="false" customHeight="true" outlineLevel="0" collapsed="false">
      <c r="A38" s="10" t="n">
        <v>2017</v>
      </c>
      <c r="B38" s="10" t="s">
        <v>145</v>
      </c>
      <c r="C38" s="10" t="n">
        <v>28.3</v>
      </c>
      <c r="D38" s="10" t="n">
        <v>28.2</v>
      </c>
      <c r="E38" s="10" t="n">
        <v>75.7</v>
      </c>
      <c r="F38" s="10" t="s">
        <v>683</v>
      </c>
      <c r="G38" s="10" t="n">
        <v>151.2</v>
      </c>
      <c r="H38" s="10" t="s">
        <v>684</v>
      </c>
    </row>
    <row r="39" customFormat="false" ht="14.25" hidden="false" customHeight="true" outlineLevel="0" collapsed="false">
      <c r="A39" s="16" t="n">
        <v>2017</v>
      </c>
      <c r="B39" s="16" t="s">
        <v>150</v>
      </c>
      <c r="C39" s="16" t="n">
        <v>90</v>
      </c>
      <c r="D39" s="16" t="n">
        <v>26.7</v>
      </c>
      <c r="E39" s="16" t="n">
        <v>72.6</v>
      </c>
      <c r="F39" s="16"/>
      <c r="G39" s="16" t="n">
        <v>160.9</v>
      </c>
      <c r="H39" s="16" t="s">
        <v>684</v>
      </c>
    </row>
    <row r="40" customFormat="false" ht="14.25" hidden="false" customHeight="true" outlineLevel="0" collapsed="false">
      <c r="A40" s="10" t="n">
        <v>2017</v>
      </c>
      <c r="B40" s="10" t="s">
        <v>156</v>
      </c>
      <c r="C40" s="10" t="n">
        <v>18</v>
      </c>
      <c r="D40" s="10" t="n">
        <v>24.8</v>
      </c>
      <c r="E40" s="10" t="n">
        <v>40</v>
      </c>
      <c r="F40" s="10" t="s">
        <v>683</v>
      </c>
      <c r="G40" s="10" t="n">
        <v>65</v>
      </c>
      <c r="H40" s="10" t="s">
        <v>684</v>
      </c>
    </row>
    <row r="41" customFormat="false" ht="14.25" hidden="false" customHeight="true" outlineLevel="0" collapsed="false">
      <c r="A41" s="16" t="n">
        <v>2018</v>
      </c>
      <c r="B41" s="16" t="s">
        <v>96</v>
      </c>
      <c r="C41" s="16" t="n">
        <v>37</v>
      </c>
      <c r="D41" s="16" t="n">
        <v>26.5</v>
      </c>
      <c r="E41" s="16" t="n">
        <v>40</v>
      </c>
      <c r="F41" s="16" t="s">
        <v>683</v>
      </c>
      <c r="G41" s="16" t="n">
        <v>28.3</v>
      </c>
      <c r="H41" s="16" t="s">
        <v>684</v>
      </c>
    </row>
    <row r="42" customFormat="false" ht="14.25" hidden="false" customHeight="true" outlineLevel="0" collapsed="false">
      <c r="A42" s="10" t="n">
        <v>2018</v>
      </c>
      <c r="B42" s="10" t="s">
        <v>102</v>
      </c>
      <c r="C42" s="10" t="n">
        <v>10</v>
      </c>
      <c r="D42" s="10" t="n">
        <v>25.8</v>
      </c>
      <c r="E42" s="10" t="n">
        <v>40.2</v>
      </c>
      <c r="F42" s="10" t="s">
        <v>683</v>
      </c>
      <c r="G42" s="10" t="n">
        <v>90</v>
      </c>
      <c r="H42" s="10" t="s">
        <v>684</v>
      </c>
    </row>
    <row r="43" customFormat="false" ht="14.25" hidden="false" customHeight="true" outlineLevel="0" collapsed="false">
      <c r="A43" s="16" t="n">
        <v>2018</v>
      </c>
      <c r="B43" s="16" t="s">
        <v>107</v>
      </c>
      <c r="C43" s="16" t="n">
        <v>25.5</v>
      </c>
      <c r="D43" s="16" t="n">
        <v>25.5</v>
      </c>
      <c r="E43" s="16" t="n">
        <v>40</v>
      </c>
      <c r="F43" s="16" t="s">
        <v>683</v>
      </c>
      <c r="G43" s="16" t="n">
        <v>18</v>
      </c>
      <c r="H43" s="16" t="s">
        <v>684</v>
      </c>
    </row>
    <row r="44" customFormat="false" ht="14.25" hidden="false" customHeight="true" outlineLevel="0" collapsed="false">
      <c r="A44" s="10" t="n">
        <v>2018</v>
      </c>
      <c r="B44" s="10" t="s">
        <v>113</v>
      </c>
      <c r="C44" s="10" t="n">
        <v>145.9</v>
      </c>
      <c r="D44" s="10" t="n">
        <v>28.5</v>
      </c>
      <c r="E44" s="10" t="n">
        <v>40</v>
      </c>
      <c r="F44" s="10"/>
      <c r="G44" s="10" t="n">
        <v>37</v>
      </c>
      <c r="H44" s="10" t="s">
        <v>684</v>
      </c>
    </row>
    <row r="45" customFormat="false" ht="14.25" hidden="false" customHeight="true" outlineLevel="0" collapsed="false">
      <c r="A45" s="16" t="n">
        <v>2018</v>
      </c>
      <c r="B45" s="16" t="s">
        <v>118</v>
      </c>
      <c r="C45" s="16" t="n">
        <v>226.1</v>
      </c>
      <c r="D45" s="16" t="n">
        <v>28.7</v>
      </c>
      <c r="E45" s="16" t="n">
        <v>40</v>
      </c>
      <c r="F45" s="16"/>
      <c r="G45" s="16" t="n">
        <v>10</v>
      </c>
      <c r="H45" s="16" t="s">
        <v>684</v>
      </c>
    </row>
    <row r="46" customFormat="false" ht="14.25" hidden="false" customHeight="true" outlineLevel="0" collapsed="false">
      <c r="A46" s="10" t="n">
        <v>2018</v>
      </c>
      <c r="B46" s="10" t="s">
        <v>123</v>
      </c>
      <c r="C46" s="10" t="n">
        <v>219.8</v>
      </c>
      <c r="D46" s="10" t="n">
        <v>31.2</v>
      </c>
      <c r="E46" s="10" t="n">
        <v>40</v>
      </c>
      <c r="F46" s="10"/>
      <c r="G46" s="10" t="n">
        <v>25.5</v>
      </c>
      <c r="H46" s="10" t="s">
        <v>684</v>
      </c>
    </row>
    <row r="47" customFormat="false" ht="14.25" hidden="false" customHeight="true" outlineLevel="0" collapsed="false">
      <c r="A47" s="16" t="n">
        <v>2018</v>
      </c>
      <c r="B47" s="16" t="s">
        <v>129</v>
      </c>
      <c r="C47" s="16" t="n">
        <v>165.8</v>
      </c>
      <c r="D47" s="16" t="n">
        <v>31.9</v>
      </c>
      <c r="E47" s="16" t="n">
        <v>85.6</v>
      </c>
      <c r="F47" s="16"/>
      <c r="G47" s="16" t="n">
        <v>145.9</v>
      </c>
      <c r="H47" s="16" t="s">
        <v>684</v>
      </c>
    </row>
    <row r="48" customFormat="false" ht="14.25" hidden="false" customHeight="true" outlineLevel="0" collapsed="false">
      <c r="A48" s="10" t="n">
        <v>2018</v>
      </c>
      <c r="B48" s="10" t="s">
        <v>134</v>
      </c>
      <c r="C48" s="10" t="n">
        <v>96.3</v>
      </c>
      <c r="D48" s="10" t="n">
        <v>29.9</v>
      </c>
      <c r="E48" s="10" t="n">
        <v>103.1</v>
      </c>
      <c r="F48" s="10"/>
      <c r="G48" s="10" t="n">
        <v>226.1</v>
      </c>
      <c r="H48" s="10" t="s">
        <v>684</v>
      </c>
    </row>
    <row r="49" customFormat="false" ht="14.25" hidden="false" customHeight="true" outlineLevel="0" collapsed="false">
      <c r="A49" s="16" t="n">
        <v>2018</v>
      </c>
      <c r="B49" s="16" t="s">
        <v>140</v>
      </c>
      <c r="C49" s="16" t="n">
        <v>21</v>
      </c>
      <c r="D49" s="16" t="n">
        <v>30.3</v>
      </c>
      <c r="E49" s="16" t="n">
        <v>110</v>
      </c>
      <c r="F49" s="16" t="s">
        <v>683</v>
      </c>
      <c r="G49" s="16" t="n">
        <v>219.8</v>
      </c>
      <c r="H49" s="16" t="s">
        <v>684</v>
      </c>
    </row>
    <row r="50" customFormat="false" ht="14.25" hidden="false" customHeight="true" outlineLevel="0" collapsed="false">
      <c r="A50" s="10" t="n">
        <v>2018</v>
      </c>
      <c r="B50" s="10" t="s">
        <v>145</v>
      </c>
      <c r="C50" s="10" t="n">
        <v>38.4</v>
      </c>
      <c r="D50" s="10" t="n">
        <v>28.3</v>
      </c>
      <c r="E50" s="10" t="n">
        <v>67.3</v>
      </c>
      <c r="F50" s="10" t="s">
        <v>683</v>
      </c>
      <c r="G50" s="10" t="n">
        <v>165.8</v>
      </c>
      <c r="H50" s="10" t="s">
        <v>684</v>
      </c>
    </row>
    <row r="51" customFormat="false" ht="14.25" hidden="false" customHeight="true" outlineLevel="0" collapsed="false">
      <c r="A51" s="16" t="n">
        <v>2018</v>
      </c>
      <c r="B51" s="16" t="s">
        <v>150</v>
      </c>
      <c r="C51" s="16" t="n">
        <v>51.5</v>
      </c>
      <c r="D51" s="16" t="n">
        <v>27.2</v>
      </c>
      <c r="E51" s="16" t="n">
        <v>46.9</v>
      </c>
      <c r="F51" s="16" t="s">
        <v>683</v>
      </c>
      <c r="G51" s="16" t="n">
        <v>96.3</v>
      </c>
      <c r="H51" s="16" t="s">
        <v>684</v>
      </c>
    </row>
    <row r="52" customFormat="false" ht="14.25" hidden="false" customHeight="true" outlineLevel="0" collapsed="false">
      <c r="A52" s="10" t="n">
        <v>2018</v>
      </c>
      <c r="B52" s="10" t="s">
        <v>156</v>
      </c>
      <c r="C52" s="10" t="n">
        <v>86.4</v>
      </c>
      <c r="D52" s="10" t="n">
        <v>26.9</v>
      </c>
      <c r="E52" s="10" t="n">
        <v>40</v>
      </c>
      <c r="F52" s="10"/>
      <c r="G52" s="10" t="n">
        <v>21</v>
      </c>
      <c r="H52" s="10" t="s">
        <v>684</v>
      </c>
    </row>
    <row r="53" customFormat="false" ht="14.25" hidden="false" customHeight="true" outlineLevel="0" collapsed="false">
      <c r="A53" s="16" t="n">
        <v>2019</v>
      </c>
      <c r="B53" s="16" t="s">
        <v>96</v>
      </c>
      <c r="C53" s="16" t="n">
        <v>41</v>
      </c>
      <c r="D53" s="16" t="n">
        <v>24.8</v>
      </c>
      <c r="E53" s="16" t="n">
        <v>40</v>
      </c>
      <c r="F53" s="16" t="s">
        <v>683</v>
      </c>
      <c r="G53" s="16" t="n">
        <v>38.4</v>
      </c>
      <c r="H53" s="16" t="s">
        <v>684</v>
      </c>
    </row>
    <row r="54" customFormat="false" ht="14.25" hidden="false" customHeight="true" outlineLevel="0" collapsed="false">
      <c r="A54" s="10" t="n">
        <v>2019</v>
      </c>
      <c r="B54" s="10" t="s">
        <v>102</v>
      </c>
      <c r="C54" s="10" t="n">
        <v>10</v>
      </c>
      <c r="D54" s="10" t="n">
        <v>24.8</v>
      </c>
      <c r="E54" s="10" t="n">
        <v>40</v>
      </c>
      <c r="F54" s="10" t="s">
        <v>683</v>
      </c>
      <c r="G54" s="10" t="n">
        <v>51.5</v>
      </c>
      <c r="H54" s="10" t="s">
        <v>684</v>
      </c>
    </row>
    <row r="55" customFormat="false" ht="14.25" hidden="false" customHeight="true" outlineLevel="0" collapsed="false">
      <c r="A55" s="16" t="n">
        <v>2019</v>
      </c>
      <c r="B55" s="16" t="s">
        <v>107</v>
      </c>
      <c r="C55" s="16" t="n">
        <v>75.1</v>
      </c>
      <c r="D55" s="16" t="n">
        <v>25.8</v>
      </c>
      <c r="E55" s="16" t="n">
        <v>41.5</v>
      </c>
      <c r="F55" s="16"/>
      <c r="G55" s="16" t="n">
        <v>86.4</v>
      </c>
      <c r="H55" s="16" t="s">
        <v>684</v>
      </c>
    </row>
    <row r="56" customFormat="false" ht="14.25" hidden="false" customHeight="true" outlineLevel="0" collapsed="false">
      <c r="A56" s="10" t="n">
        <v>2019</v>
      </c>
      <c r="B56" s="10" t="s">
        <v>113</v>
      </c>
      <c r="C56" s="10" t="n">
        <v>128.4</v>
      </c>
      <c r="D56" s="10" t="n">
        <v>27.3</v>
      </c>
      <c r="E56" s="10" t="n">
        <v>40</v>
      </c>
      <c r="F56" s="10"/>
      <c r="G56" s="10" t="n">
        <v>41</v>
      </c>
      <c r="H56" s="10" t="s">
        <v>684</v>
      </c>
    </row>
    <row r="57" customFormat="false" ht="14.25" hidden="false" customHeight="true" outlineLevel="0" collapsed="false">
      <c r="A57" s="16" t="n">
        <v>2019</v>
      </c>
      <c r="B57" s="16" t="s">
        <v>118</v>
      </c>
      <c r="C57" s="16" t="n">
        <v>183.6</v>
      </c>
      <c r="D57" s="16" t="n">
        <v>29.4</v>
      </c>
      <c r="E57" s="16" t="n">
        <v>40</v>
      </c>
      <c r="F57" s="16"/>
      <c r="G57" s="16" t="n">
        <v>10</v>
      </c>
      <c r="H57" s="16" t="s">
        <v>684</v>
      </c>
    </row>
    <row r="58" customFormat="false" ht="14.25" hidden="false" customHeight="true" outlineLevel="0" collapsed="false">
      <c r="A58" s="10" t="n">
        <v>2019</v>
      </c>
      <c r="B58" s="10" t="s">
        <v>123</v>
      </c>
      <c r="C58" s="10" t="n">
        <v>233</v>
      </c>
      <c r="D58" s="10" t="n">
        <v>30.9</v>
      </c>
      <c r="E58" s="10" t="n">
        <v>44.3</v>
      </c>
      <c r="F58" s="10"/>
      <c r="G58" s="10" t="n">
        <v>75.1</v>
      </c>
      <c r="H58" s="10" t="s">
        <v>684</v>
      </c>
    </row>
    <row r="59" customFormat="false" ht="14.25" hidden="false" customHeight="true" outlineLevel="0" collapsed="false">
      <c r="A59" s="16" t="n">
        <v>2019</v>
      </c>
      <c r="B59" s="16" t="s">
        <v>129</v>
      </c>
      <c r="C59" s="16" t="n">
        <v>200.2</v>
      </c>
      <c r="D59" s="16" t="n">
        <v>31.2</v>
      </c>
      <c r="E59" s="16" t="n">
        <v>67.1</v>
      </c>
      <c r="F59" s="16"/>
      <c r="G59" s="16" t="n">
        <v>128.4</v>
      </c>
      <c r="H59" s="16" t="s">
        <v>684</v>
      </c>
    </row>
    <row r="60" customFormat="false" ht="14.25" hidden="false" customHeight="true" outlineLevel="0" collapsed="false">
      <c r="A60" s="10" t="n">
        <v>2019</v>
      </c>
      <c r="B60" s="10" t="s">
        <v>134</v>
      </c>
      <c r="C60" s="10" t="n">
        <v>133.3</v>
      </c>
      <c r="D60" s="10" t="n">
        <v>31.3</v>
      </c>
      <c r="E60" s="10" t="n">
        <v>86.3</v>
      </c>
      <c r="F60" s="10"/>
      <c r="G60" s="10" t="n">
        <v>183.6</v>
      </c>
      <c r="H60" s="10" t="s">
        <v>684</v>
      </c>
    </row>
    <row r="61" customFormat="false" ht="14.25" hidden="false" customHeight="true" outlineLevel="0" collapsed="false">
      <c r="A61" s="16" t="n">
        <v>2019</v>
      </c>
      <c r="B61" s="16" t="s">
        <v>140</v>
      </c>
      <c r="C61" s="16" t="n">
        <v>40.2</v>
      </c>
      <c r="D61" s="16" t="n">
        <v>29.5</v>
      </c>
      <c r="E61" s="16" t="n">
        <v>110</v>
      </c>
      <c r="F61" s="16" t="s">
        <v>683</v>
      </c>
      <c r="G61" s="16" t="n">
        <v>233</v>
      </c>
      <c r="H61" s="16" t="s">
        <v>684</v>
      </c>
    </row>
    <row r="62" customFormat="false" ht="14.25" hidden="false" customHeight="true" outlineLevel="0" collapsed="false">
      <c r="A62" s="10" t="n">
        <v>2019</v>
      </c>
      <c r="B62" s="10" t="s">
        <v>145</v>
      </c>
      <c r="C62" s="10" t="n">
        <v>50.7</v>
      </c>
      <c r="D62" s="10" t="n">
        <v>29.2</v>
      </c>
      <c r="E62" s="10" t="n">
        <v>102.6</v>
      </c>
      <c r="F62" s="10" t="s">
        <v>683</v>
      </c>
      <c r="G62" s="10" t="n">
        <v>200.2</v>
      </c>
      <c r="H62" s="10" t="s">
        <v>684</v>
      </c>
    </row>
    <row r="63" customFormat="false" ht="14.25" hidden="false" customHeight="true" outlineLevel="0" collapsed="false">
      <c r="A63" s="16" t="n">
        <v>2019</v>
      </c>
      <c r="B63" s="16" t="s">
        <v>150</v>
      </c>
      <c r="C63" s="16" t="n">
        <v>75.3</v>
      </c>
      <c r="D63" s="16" t="n">
        <v>26.3</v>
      </c>
      <c r="E63" s="16" t="n">
        <v>73.2</v>
      </c>
      <c r="F63" s="16"/>
      <c r="G63" s="16" t="n">
        <v>133.3</v>
      </c>
      <c r="H63" s="16" t="s">
        <v>684</v>
      </c>
    </row>
    <row r="64" customFormat="false" ht="14.25" hidden="false" customHeight="true" outlineLevel="0" collapsed="false">
      <c r="A64" s="10" t="n">
        <v>2019</v>
      </c>
      <c r="B64" s="10" t="s">
        <v>156</v>
      </c>
      <c r="C64" s="10" t="n">
        <v>83.9</v>
      </c>
      <c r="D64" s="10" t="n">
        <v>27.6</v>
      </c>
      <c r="E64" s="10" t="n">
        <v>40</v>
      </c>
      <c r="F64" s="10"/>
      <c r="G64" s="10" t="n">
        <v>40.2</v>
      </c>
      <c r="H64" s="10" t="s">
        <v>684</v>
      </c>
    </row>
    <row r="65" customFormat="false" ht="14.25" hidden="false" customHeight="true" outlineLevel="0" collapsed="false">
      <c r="A65" s="16" t="n">
        <v>2020</v>
      </c>
      <c r="B65" s="16" t="s">
        <v>96</v>
      </c>
      <c r="C65" s="16" t="n">
        <v>16.3</v>
      </c>
      <c r="D65" s="16" t="n">
        <v>25.5</v>
      </c>
      <c r="E65" s="16" t="n">
        <v>40</v>
      </c>
      <c r="F65" s="16" t="s">
        <v>683</v>
      </c>
      <c r="G65" s="16" t="n">
        <v>50.7</v>
      </c>
      <c r="H65" s="16" t="s">
        <v>684</v>
      </c>
    </row>
    <row r="66" customFormat="false" ht="14.25" hidden="false" customHeight="true" outlineLevel="0" collapsed="false">
      <c r="A66" s="10" t="n">
        <v>2020</v>
      </c>
      <c r="B66" s="10" t="s">
        <v>102</v>
      </c>
      <c r="C66" s="10" t="n">
        <v>19.8</v>
      </c>
      <c r="D66" s="10" t="n">
        <v>24.7</v>
      </c>
      <c r="E66" s="10" t="n">
        <v>40</v>
      </c>
      <c r="F66" s="10" t="s">
        <v>683</v>
      </c>
      <c r="G66" s="10" t="n">
        <v>75.3</v>
      </c>
      <c r="H66" s="10" t="s">
        <v>684</v>
      </c>
    </row>
    <row r="67" customFormat="false" ht="14.25" hidden="false" customHeight="true" outlineLevel="0" collapsed="false">
      <c r="A67" s="16" t="n">
        <v>2020</v>
      </c>
      <c r="B67" s="16" t="s">
        <v>107</v>
      </c>
      <c r="C67" s="16" t="n">
        <v>32.2</v>
      </c>
      <c r="D67" s="16" t="n">
        <v>25.6</v>
      </c>
      <c r="E67" s="16" t="n">
        <v>47.9</v>
      </c>
      <c r="F67" s="16" t="s">
        <v>683</v>
      </c>
      <c r="G67" s="16" t="n">
        <v>83.9</v>
      </c>
      <c r="H67" s="16" t="s">
        <v>684</v>
      </c>
    </row>
    <row r="68" customFormat="false" ht="14.25" hidden="false" customHeight="true" outlineLevel="0" collapsed="false">
      <c r="A68" s="10" t="n">
        <v>2020</v>
      </c>
      <c r="B68" s="10" t="s">
        <v>113</v>
      </c>
      <c r="C68" s="10" t="n">
        <v>104.1</v>
      </c>
      <c r="D68" s="10" t="n">
        <v>28.4</v>
      </c>
      <c r="E68" s="10" t="n">
        <v>40</v>
      </c>
      <c r="F68" s="10"/>
      <c r="G68" s="10" t="n">
        <v>16.3</v>
      </c>
      <c r="H68" s="10" t="s">
        <v>684</v>
      </c>
    </row>
    <row r="69" customFormat="false" ht="14.25" hidden="false" customHeight="true" outlineLevel="0" collapsed="false">
      <c r="A69" s="16" t="n">
        <v>2020</v>
      </c>
      <c r="B69" s="16" t="s">
        <v>118</v>
      </c>
      <c r="C69" s="16" t="n">
        <v>228.3</v>
      </c>
      <c r="D69" s="16" t="n">
        <v>29.3</v>
      </c>
      <c r="E69" s="16" t="n">
        <v>40</v>
      </c>
      <c r="F69" s="16"/>
      <c r="G69" s="16" t="n">
        <v>19.8</v>
      </c>
      <c r="H69" s="16" t="s">
        <v>684</v>
      </c>
    </row>
    <row r="70" customFormat="false" ht="14.25" hidden="false" customHeight="true" outlineLevel="0" collapsed="false">
      <c r="A70" s="10" t="n">
        <v>2020</v>
      </c>
      <c r="B70" s="10" t="s">
        <v>123</v>
      </c>
      <c r="C70" s="10" t="n">
        <v>255.3</v>
      </c>
      <c r="D70" s="10" t="n">
        <v>31.2</v>
      </c>
      <c r="E70" s="10" t="n">
        <v>40</v>
      </c>
      <c r="F70" s="10"/>
      <c r="G70" s="10" t="n">
        <v>32.2</v>
      </c>
      <c r="H70" s="10" t="s">
        <v>684</v>
      </c>
    </row>
    <row r="71" customFormat="false" ht="14.25" hidden="false" customHeight="true" outlineLevel="0" collapsed="false">
      <c r="A71" s="16" t="n">
        <v>2020</v>
      </c>
      <c r="B71" s="16" t="s">
        <v>129</v>
      </c>
      <c r="C71" s="16" t="n">
        <v>167.1</v>
      </c>
      <c r="D71" s="16" t="n">
        <v>31.4</v>
      </c>
      <c r="E71" s="16" t="n">
        <v>62.3</v>
      </c>
      <c r="F71" s="16"/>
      <c r="G71" s="16" t="n">
        <v>104.1</v>
      </c>
      <c r="H71" s="16" t="s">
        <v>684</v>
      </c>
    </row>
    <row r="72" customFormat="false" ht="14.25" hidden="false" customHeight="true" outlineLevel="0" collapsed="false">
      <c r="A72" s="10" t="n">
        <v>2020</v>
      </c>
      <c r="B72" s="10" t="s">
        <v>134</v>
      </c>
      <c r="C72" s="10" t="n">
        <v>135.5</v>
      </c>
      <c r="D72" s="10" t="n">
        <v>30.5</v>
      </c>
      <c r="E72" s="10" t="n">
        <v>109.4</v>
      </c>
      <c r="F72" s="10"/>
      <c r="G72" s="10" t="n">
        <v>228.3</v>
      </c>
      <c r="H72" s="10" t="s">
        <v>684</v>
      </c>
    </row>
    <row r="73" customFormat="false" ht="14.25" hidden="false" customHeight="true" outlineLevel="0" collapsed="false">
      <c r="A73" s="16" t="n">
        <v>2020</v>
      </c>
      <c r="B73" s="16" t="s">
        <v>140</v>
      </c>
      <c r="C73" s="16" t="n">
        <v>76.2</v>
      </c>
      <c r="D73" s="16" t="n">
        <v>28.8</v>
      </c>
      <c r="E73" s="16" t="n">
        <v>110</v>
      </c>
      <c r="F73" s="16"/>
      <c r="G73" s="16" t="n">
        <v>255.3</v>
      </c>
      <c r="H73" s="16" t="s">
        <v>684</v>
      </c>
    </row>
    <row r="74" customFormat="false" ht="14.25" hidden="false" customHeight="true" outlineLevel="0" collapsed="false">
      <c r="A74" s="10" t="n">
        <v>2020</v>
      </c>
      <c r="B74" s="10" t="s">
        <v>145</v>
      </c>
      <c r="C74" s="10" t="n">
        <v>40.6</v>
      </c>
      <c r="D74" s="10" t="n">
        <v>26.8</v>
      </c>
      <c r="E74" s="10" t="n">
        <v>81.9</v>
      </c>
      <c r="F74" s="10" t="s">
        <v>683</v>
      </c>
      <c r="G74" s="10" t="n">
        <v>167.1</v>
      </c>
      <c r="H74" s="10" t="s">
        <v>684</v>
      </c>
    </row>
    <row r="75" customFormat="false" ht="14.25" hidden="false" customHeight="true" outlineLevel="0" collapsed="false">
      <c r="A75" s="16" t="n">
        <v>2020</v>
      </c>
      <c r="B75" s="16" t="s">
        <v>150</v>
      </c>
      <c r="C75" s="16" t="n">
        <v>76.2</v>
      </c>
      <c r="D75" s="16" t="n">
        <v>26.1</v>
      </c>
      <c r="E75" s="16" t="n">
        <v>66</v>
      </c>
      <c r="F75" s="16"/>
      <c r="G75" s="16" t="n">
        <v>135.5</v>
      </c>
      <c r="H75" s="16" t="s">
        <v>684</v>
      </c>
    </row>
    <row r="76" customFormat="false" ht="14.25" hidden="false" customHeight="true" outlineLevel="0" collapsed="false">
      <c r="A76" s="10" t="n">
        <v>2020</v>
      </c>
      <c r="B76" s="10" t="s">
        <v>156</v>
      </c>
      <c r="C76" s="10" t="n">
        <v>100.8</v>
      </c>
      <c r="D76" s="10" t="n">
        <v>26.1</v>
      </c>
      <c r="E76" s="10" t="n">
        <v>46.9</v>
      </c>
      <c r="F76" s="10"/>
      <c r="G76" s="10" t="n">
        <v>76.2</v>
      </c>
      <c r="H76" s="10" t="s">
        <v>684</v>
      </c>
    </row>
    <row r="77" customFormat="false" ht="14.25" hidden="false" customHeight="true" outlineLevel="0" collapsed="false">
      <c r="A77" s="16" t="n">
        <v>2021</v>
      </c>
      <c r="B77" s="16" t="s">
        <v>96</v>
      </c>
      <c r="C77" s="16" t="n">
        <v>29.6</v>
      </c>
      <c r="D77" s="16" t="n">
        <v>25.2</v>
      </c>
      <c r="E77" s="16" t="n">
        <v>40</v>
      </c>
      <c r="F77" s="16" t="s">
        <v>683</v>
      </c>
      <c r="G77" s="16" t="n">
        <v>40.6</v>
      </c>
      <c r="H77" s="16" t="s">
        <v>684</v>
      </c>
    </row>
    <row r="78" customFormat="false" ht="14.25" hidden="false" customHeight="true" outlineLevel="0" collapsed="false">
      <c r="A78" s="10" t="n">
        <v>2021</v>
      </c>
      <c r="B78" s="10" t="s">
        <v>102</v>
      </c>
      <c r="C78" s="10" t="n">
        <v>72.3</v>
      </c>
      <c r="D78" s="10" t="n">
        <v>24.4</v>
      </c>
      <c r="E78" s="10" t="n">
        <v>44.6</v>
      </c>
      <c r="F78" s="10"/>
      <c r="G78" s="10" t="n">
        <v>76.2</v>
      </c>
      <c r="H78" s="10" t="s">
        <v>684</v>
      </c>
    </row>
    <row r="79" customFormat="false" ht="14.25" hidden="false" customHeight="true" outlineLevel="0" collapsed="false">
      <c r="A79" s="16" t="n">
        <v>2021</v>
      </c>
      <c r="B79" s="16" t="s">
        <v>107</v>
      </c>
      <c r="C79" s="16" t="n">
        <v>10</v>
      </c>
      <c r="D79" s="16" t="n">
        <v>26.6</v>
      </c>
      <c r="E79" s="16" t="n">
        <v>60.8</v>
      </c>
      <c r="F79" s="16" t="s">
        <v>683</v>
      </c>
      <c r="G79" s="16" t="n">
        <v>100.8</v>
      </c>
      <c r="H79" s="16" t="s">
        <v>684</v>
      </c>
    </row>
    <row r="80" customFormat="false" ht="14.25" hidden="false" customHeight="true" outlineLevel="0" collapsed="false">
      <c r="A80" s="10" t="n">
        <v>2021</v>
      </c>
      <c r="B80" s="10" t="s">
        <v>113</v>
      </c>
      <c r="C80" s="10" t="n">
        <v>164.7</v>
      </c>
      <c r="D80" s="10" t="n">
        <v>28.3</v>
      </c>
      <c r="E80" s="10" t="n">
        <v>40</v>
      </c>
      <c r="F80" s="10"/>
      <c r="G80" s="10" t="n">
        <v>29.6</v>
      </c>
      <c r="H80" s="10" t="s">
        <v>684</v>
      </c>
    </row>
    <row r="81" customFormat="false" ht="14.25" hidden="false" customHeight="true" outlineLevel="0" collapsed="false">
      <c r="A81" s="16" t="n">
        <v>2021</v>
      </c>
      <c r="B81" s="16" t="s">
        <v>118</v>
      </c>
      <c r="C81" s="16" t="n">
        <v>206.5</v>
      </c>
      <c r="D81" s="16" t="n">
        <v>28.8</v>
      </c>
      <c r="E81" s="16" t="n">
        <v>41.6</v>
      </c>
      <c r="F81" s="16"/>
      <c r="G81" s="16" t="n">
        <v>72.3</v>
      </c>
      <c r="H81" s="16" t="s">
        <v>684</v>
      </c>
    </row>
    <row r="82" customFormat="false" ht="14.25" hidden="false" customHeight="true" outlineLevel="0" collapsed="false">
      <c r="A82" s="10" t="n">
        <v>2021</v>
      </c>
      <c r="B82" s="10" t="s">
        <v>123</v>
      </c>
      <c r="C82" s="10" t="n">
        <v>205.7</v>
      </c>
      <c r="D82" s="10" t="n">
        <v>30.7</v>
      </c>
      <c r="E82" s="10" t="n">
        <v>40</v>
      </c>
      <c r="F82" s="10"/>
      <c r="G82" s="10" t="n">
        <v>10</v>
      </c>
      <c r="H82" s="10" t="s">
        <v>684</v>
      </c>
    </row>
    <row r="83" customFormat="false" ht="14.25" hidden="false" customHeight="true" outlineLevel="0" collapsed="false">
      <c r="A83" s="16" t="n">
        <v>2021</v>
      </c>
      <c r="B83" s="16" t="s">
        <v>129</v>
      </c>
      <c r="C83" s="16" t="n">
        <v>172</v>
      </c>
      <c r="D83" s="16" t="n">
        <v>31</v>
      </c>
      <c r="E83" s="16" t="n">
        <v>84.9</v>
      </c>
      <c r="F83" s="16"/>
      <c r="G83" s="16" t="n">
        <v>164.7</v>
      </c>
      <c r="H83" s="16" t="s">
        <v>684</v>
      </c>
    </row>
    <row r="84" customFormat="false" ht="14.25" hidden="false" customHeight="true" outlineLevel="0" collapsed="false">
      <c r="A84" s="10" t="n">
        <v>2021</v>
      </c>
      <c r="B84" s="10" t="s">
        <v>134</v>
      </c>
      <c r="C84" s="10" t="n">
        <v>45.7</v>
      </c>
      <c r="D84" s="10" t="n">
        <v>29.7</v>
      </c>
      <c r="E84" s="10" t="n">
        <v>102.2</v>
      </c>
      <c r="F84" s="10" t="s">
        <v>683</v>
      </c>
      <c r="G84" s="10" t="n">
        <v>206.5</v>
      </c>
      <c r="H84" s="10" t="s">
        <v>684</v>
      </c>
    </row>
    <row r="85" customFormat="false" ht="14.25" hidden="false" customHeight="true" outlineLevel="0" collapsed="false">
      <c r="A85" s="16" t="n">
        <v>2021</v>
      </c>
      <c r="B85" s="16" t="s">
        <v>140</v>
      </c>
      <c r="C85" s="16" t="n">
        <v>58.8</v>
      </c>
      <c r="D85" s="16" t="n">
        <v>29.8</v>
      </c>
      <c r="E85" s="16" t="n">
        <v>103.6</v>
      </c>
      <c r="F85" s="16" t="s">
        <v>683</v>
      </c>
      <c r="G85" s="16" t="n">
        <v>205.7</v>
      </c>
      <c r="H85" s="16" t="s">
        <v>684</v>
      </c>
    </row>
    <row r="86" customFormat="false" ht="14.25" hidden="false" customHeight="true" outlineLevel="0" collapsed="false">
      <c r="A86" s="10" t="n">
        <v>2021</v>
      </c>
      <c r="B86" s="10" t="s">
        <v>145</v>
      </c>
      <c r="C86" s="10" t="n">
        <v>70.7</v>
      </c>
      <c r="D86" s="10" t="n">
        <v>28.4</v>
      </c>
      <c r="E86" s="10" t="n">
        <v>90.8</v>
      </c>
      <c r="F86" s="10"/>
      <c r="G86" s="10" t="n">
        <v>172</v>
      </c>
      <c r="H86" s="10" t="s">
        <v>684</v>
      </c>
    </row>
    <row r="87" customFormat="false" ht="14.25" hidden="false" customHeight="true" outlineLevel="0" collapsed="false">
      <c r="A87" s="16" t="n">
        <v>2021</v>
      </c>
      <c r="B87" s="16" t="s">
        <v>150</v>
      </c>
      <c r="C87" s="16" t="n">
        <v>109.7</v>
      </c>
      <c r="D87" s="16" t="n">
        <v>27.4</v>
      </c>
      <c r="E87" s="16" t="n">
        <v>40</v>
      </c>
      <c r="F87" s="16"/>
      <c r="G87" s="16" t="n">
        <v>45.7</v>
      </c>
      <c r="H87" s="16" t="s">
        <v>684</v>
      </c>
    </row>
    <row r="88" customFormat="false" ht="14.25" hidden="false" customHeight="true" outlineLevel="0" collapsed="false">
      <c r="A88" s="10" t="n">
        <v>2021</v>
      </c>
      <c r="B88" s="10" t="s">
        <v>156</v>
      </c>
      <c r="C88" s="10" t="n">
        <v>39.1</v>
      </c>
      <c r="D88" s="10" t="n">
        <v>26.2</v>
      </c>
      <c r="E88" s="10" t="n">
        <v>46.1</v>
      </c>
      <c r="F88" s="10" t="s">
        <v>683</v>
      </c>
      <c r="G88" s="10" t="n">
        <v>58.8</v>
      </c>
      <c r="H88" s="10" t="s">
        <v>684</v>
      </c>
    </row>
    <row r="89" customFormat="false" ht="14.25" hidden="false" customHeight="true" outlineLevel="0" collapsed="false">
      <c r="A89" s="16" t="n">
        <v>2022</v>
      </c>
      <c r="B89" s="16" t="s">
        <v>96</v>
      </c>
      <c r="C89" s="16" t="n">
        <v>10</v>
      </c>
      <c r="D89" s="16" t="n">
        <v>23.9</v>
      </c>
      <c r="E89" s="16" t="n">
        <v>40</v>
      </c>
      <c r="F89" s="16" t="s">
        <v>683</v>
      </c>
      <c r="G89" s="16" t="n">
        <v>70.7</v>
      </c>
      <c r="H89" s="16" t="s">
        <v>684</v>
      </c>
    </row>
    <row r="90" customFormat="false" ht="14.25" hidden="false" customHeight="true" outlineLevel="0" collapsed="false">
      <c r="A90" s="10" t="n">
        <v>2022</v>
      </c>
      <c r="B90" s="10" t="s">
        <v>102</v>
      </c>
      <c r="C90" s="10" t="n">
        <v>10.3</v>
      </c>
      <c r="D90" s="10" t="n">
        <v>24.7</v>
      </c>
      <c r="E90" s="10" t="n">
        <v>45.1</v>
      </c>
      <c r="F90" s="10" t="s">
        <v>683</v>
      </c>
      <c r="G90" s="10" t="n">
        <v>109.7</v>
      </c>
      <c r="H90" s="10" t="s">
        <v>684</v>
      </c>
    </row>
    <row r="91" customFormat="false" ht="14.25" hidden="false" customHeight="true" outlineLevel="0" collapsed="false">
      <c r="A91" s="16" t="n">
        <v>2022</v>
      </c>
      <c r="B91" s="16" t="s">
        <v>107</v>
      </c>
      <c r="C91" s="16" t="n">
        <v>92.8</v>
      </c>
      <c r="D91" s="16" t="n">
        <v>26.9</v>
      </c>
      <c r="E91" s="16" t="n">
        <v>40</v>
      </c>
      <c r="F91" s="16"/>
      <c r="G91" s="16" t="n">
        <v>39.1</v>
      </c>
      <c r="H91" s="16" t="s">
        <v>684</v>
      </c>
    </row>
    <row r="92" customFormat="false" ht="14.25" hidden="false" customHeight="true" outlineLevel="0" collapsed="false">
      <c r="A92" s="10" t="n">
        <v>2022</v>
      </c>
      <c r="B92" s="10" t="s">
        <v>113</v>
      </c>
      <c r="C92" s="10" t="n">
        <v>149.9</v>
      </c>
      <c r="D92" s="10" t="n">
        <v>28.4</v>
      </c>
      <c r="E92" s="10" t="n">
        <v>40</v>
      </c>
      <c r="F92" s="10"/>
      <c r="G92" s="10" t="n">
        <v>10</v>
      </c>
      <c r="H92" s="10" t="s">
        <v>684</v>
      </c>
    </row>
    <row r="93" customFormat="false" ht="14.25" hidden="false" customHeight="true" outlineLevel="0" collapsed="false">
      <c r="A93" s="16" t="n">
        <v>2022</v>
      </c>
      <c r="B93" s="16" t="s">
        <v>118</v>
      </c>
      <c r="C93" s="16" t="n">
        <v>188</v>
      </c>
      <c r="D93" s="16" t="n">
        <v>29.9</v>
      </c>
      <c r="E93" s="16" t="n">
        <v>40</v>
      </c>
      <c r="F93" s="16"/>
      <c r="G93" s="16" t="n">
        <v>10.3</v>
      </c>
      <c r="H93" s="16" t="s">
        <v>684</v>
      </c>
    </row>
    <row r="94" customFormat="false" ht="14.25" hidden="false" customHeight="true" outlineLevel="0" collapsed="false">
      <c r="A94" s="10" t="n">
        <v>2022</v>
      </c>
      <c r="B94" s="10" t="s">
        <v>123</v>
      </c>
      <c r="C94" s="10" t="n">
        <v>230</v>
      </c>
      <c r="D94" s="10" t="n">
        <v>33.7</v>
      </c>
      <c r="E94" s="10" t="n">
        <v>51.4</v>
      </c>
      <c r="F94" s="10"/>
      <c r="G94" s="10" t="n">
        <v>92.8</v>
      </c>
      <c r="H94" s="10" t="s">
        <v>684</v>
      </c>
    </row>
    <row r="95" customFormat="false" ht="14.25" hidden="false" customHeight="true" outlineLevel="0" collapsed="false">
      <c r="A95" s="16" t="n">
        <v>2022</v>
      </c>
      <c r="B95" s="16" t="s">
        <v>129</v>
      </c>
      <c r="C95" s="16" t="n">
        <v>172.2</v>
      </c>
      <c r="D95" s="16" t="n">
        <v>31.5</v>
      </c>
      <c r="E95" s="16" t="n">
        <v>74.9</v>
      </c>
      <c r="F95" s="16"/>
      <c r="G95" s="16" t="n">
        <v>149.9</v>
      </c>
      <c r="H95" s="16" t="s">
        <v>684</v>
      </c>
    </row>
    <row r="96" customFormat="false" ht="14.25" hidden="false" customHeight="true" outlineLevel="0" collapsed="false">
      <c r="A96" s="10" t="n">
        <v>2022</v>
      </c>
      <c r="B96" s="10" t="s">
        <v>134</v>
      </c>
      <c r="C96" s="10" t="n">
        <v>134.4</v>
      </c>
      <c r="D96" s="10" t="n">
        <v>31.5</v>
      </c>
      <c r="E96" s="10" t="n">
        <v>86.8</v>
      </c>
      <c r="F96" s="10"/>
      <c r="G96" s="10" t="n">
        <v>188</v>
      </c>
      <c r="H96" s="10" t="s">
        <v>684</v>
      </c>
    </row>
    <row r="97" customFormat="false" ht="14.25" hidden="false" customHeight="true" outlineLevel="0" collapsed="false">
      <c r="A97" s="16" t="n">
        <v>2022</v>
      </c>
      <c r="B97" s="16" t="s">
        <v>140</v>
      </c>
      <c r="C97" s="16" t="n">
        <v>44.3</v>
      </c>
      <c r="D97" s="16" t="n">
        <v>30.3</v>
      </c>
      <c r="E97" s="16" t="n">
        <v>110</v>
      </c>
      <c r="F97" s="16" t="s">
        <v>683</v>
      </c>
      <c r="G97" s="16" t="n">
        <v>230</v>
      </c>
      <c r="H97" s="16" t="s">
        <v>684</v>
      </c>
    </row>
    <row r="98" customFormat="false" ht="14.25" hidden="false" customHeight="true" outlineLevel="0" collapsed="false">
      <c r="A98" s="10" t="n">
        <v>2022</v>
      </c>
      <c r="B98" s="10" t="s">
        <v>145</v>
      </c>
      <c r="C98" s="10" t="n">
        <v>50.2</v>
      </c>
      <c r="D98" s="10" t="n">
        <v>28.5</v>
      </c>
      <c r="E98" s="10" t="n">
        <v>80.7</v>
      </c>
      <c r="F98" s="10" t="s">
        <v>683</v>
      </c>
      <c r="G98" s="10" t="n">
        <v>172.2</v>
      </c>
      <c r="H98" s="10" t="s">
        <v>684</v>
      </c>
    </row>
    <row r="99" customFormat="false" ht="14.25" hidden="false" customHeight="true" outlineLevel="0" collapsed="false">
      <c r="A99" s="16" t="n">
        <v>2022</v>
      </c>
      <c r="B99" s="16" t="s">
        <v>150</v>
      </c>
      <c r="C99" s="16" t="n">
        <v>53.6</v>
      </c>
      <c r="D99" s="16" t="n">
        <v>26.2</v>
      </c>
      <c r="E99" s="16" t="n">
        <v>75</v>
      </c>
      <c r="F99" s="16" t="s">
        <v>683</v>
      </c>
      <c r="G99" s="16" t="n">
        <v>134.4</v>
      </c>
      <c r="H99" s="16" t="s">
        <v>684</v>
      </c>
    </row>
    <row r="100" customFormat="false" ht="14.25" hidden="false" customHeight="true" outlineLevel="0" collapsed="false">
      <c r="A100" s="10" t="n">
        <v>2022</v>
      </c>
      <c r="B100" s="10" t="s">
        <v>156</v>
      </c>
      <c r="C100" s="10" t="n">
        <v>10.7</v>
      </c>
      <c r="D100" s="10" t="n">
        <v>26</v>
      </c>
      <c r="E100" s="10" t="n">
        <v>40</v>
      </c>
      <c r="F100" s="10" t="s">
        <v>683</v>
      </c>
      <c r="G100" s="10" t="n">
        <v>44.3</v>
      </c>
      <c r="H100" s="10" t="s">
        <v>684</v>
      </c>
    </row>
    <row r="101" customFormat="false" ht="14.25" hidden="false" customHeight="true" outlineLevel="0" collapsed="false">
      <c r="A101" s="16" t="n">
        <v>2023</v>
      </c>
      <c r="B101" s="16" t="s">
        <v>96</v>
      </c>
      <c r="C101" s="16" t="n">
        <v>39.6</v>
      </c>
      <c r="D101" s="16" t="n">
        <v>24.4</v>
      </c>
      <c r="E101" s="16" t="n">
        <v>40</v>
      </c>
      <c r="F101" s="16" t="s">
        <v>683</v>
      </c>
      <c r="G101" s="16" t="n">
        <v>50.2</v>
      </c>
      <c r="H101" s="16" t="s">
        <v>684</v>
      </c>
    </row>
    <row r="102" customFormat="false" ht="14.25" hidden="false" customHeight="true" outlineLevel="0" collapsed="false">
      <c r="A102" s="10" t="n">
        <v>2023</v>
      </c>
      <c r="B102" s="10" t="s">
        <v>102</v>
      </c>
      <c r="C102" s="10" t="n">
        <v>33.2</v>
      </c>
      <c r="D102" s="10" t="n">
        <v>25.2</v>
      </c>
      <c r="E102" s="10" t="n">
        <v>40</v>
      </c>
      <c r="F102" s="10" t="s">
        <v>683</v>
      </c>
      <c r="G102" s="10" t="n">
        <v>53.6</v>
      </c>
      <c r="H102" s="10" t="s">
        <v>684</v>
      </c>
    </row>
    <row r="103" customFormat="false" ht="14.25" hidden="false" customHeight="true" outlineLevel="0" collapsed="false">
      <c r="A103" s="16" t="n">
        <v>2023</v>
      </c>
      <c r="B103" s="16" t="s">
        <v>107</v>
      </c>
      <c r="C103" s="16" t="n">
        <v>65.5</v>
      </c>
      <c r="D103" s="16" t="n">
        <v>26.1</v>
      </c>
      <c r="E103" s="16" t="n">
        <v>40</v>
      </c>
      <c r="F103" s="16"/>
      <c r="G103" s="16" t="n">
        <v>10.7</v>
      </c>
      <c r="H103" s="16" t="s">
        <v>684</v>
      </c>
    </row>
    <row r="104" customFormat="false" ht="14.25" hidden="false" customHeight="true" outlineLevel="0" collapsed="false">
      <c r="A104" s="10" t="n">
        <v>2023</v>
      </c>
      <c r="B104" s="10" t="s">
        <v>113</v>
      </c>
      <c r="C104" s="10" t="n">
        <v>133</v>
      </c>
      <c r="D104" s="10" t="n">
        <v>28.1</v>
      </c>
      <c r="E104" s="10" t="n">
        <v>40</v>
      </c>
      <c r="F104" s="10"/>
      <c r="G104" s="10" t="n">
        <v>39.6</v>
      </c>
      <c r="H104" s="10" t="s">
        <v>684</v>
      </c>
    </row>
    <row r="105" customFormat="false" ht="14.25" hidden="false" customHeight="true" outlineLevel="0" collapsed="false">
      <c r="A105" s="16" t="n">
        <v>2023</v>
      </c>
      <c r="B105" s="16" t="s">
        <v>118</v>
      </c>
      <c r="C105" s="16" t="n">
        <v>161.5</v>
      </c>
      <c r="D105" s="16" t="n">
        <v>31.4</v>
      </c>
      <c r="E105" s="16" t="n">
        <v>40</v>
      </c>
      <c r="F105" s="16"/>
      <c r="G105" s="16" t="n">
        <v>33.2</v>
      </c>
      <c r="H105" s="16" t="s">
        <v>684</v>
      </c>
    </row>
    <row r="106" customFormat="false" ht="14.25" hidden="false" customHeight="true" outlineLevel="0" collapsed="false">
      <c r="A106" s="10" t="n">
        <v>2023</v>
      </c>
      <c r="B106" s="10" t="s">
        <v>123</v>
      </c>
      <c r="C106" s="10" t="n">
        <v>202</v>
      </c>
      <c r="D106" s="10" t="n">
        <v>29.1</v>
      </c>
      <c r="E106" s="10" t="n">
        <v>40</v>
      </c>
      <c r="F106" s="10"/>
      <c r="G106" s="10" t="n">
        <v>65.5</v>
      </c>
      <c r="H106" s="10" t="s">
        <v>684</v>
      </c>
    </row>
    <row r="107" customFormat="false" ht="14.25" hidden="false" customHeight="true" outlineLevel="0" collapsed="false">
      <c r="A107" s="16" t="n">
        <v>2023</v>
      </c>
      <c r="B107" s="16" t="s">
        <v>129</v>
      </c>
      <c r="C107" s="16" t="n">
        <v>159</v>
      </c>
      <c r="D107" s="16" t="n">
        <v>31.5</v>
      </c>
      <c r="E107" s="16" t="n">
        <v>68.5</v>
      </c>
      <c r="F107" s="16"/>
      <c r="G107" s="16" t="n">
        <v>133</v>
      </c>
      <c r="H107" s="16" t="s">
        <v>684</v>
      </c>
    </row>
    <row r="108" customFormat="false" ht="14.25" hidden="false" customHeight="true" outlineLevel="0" collapsed="false">
      <c r="A108" s="10" t="n">
        <v>2023</v>
      </c>
      <c r="B108" s="10" t="s">
        <v>134</v>
      </c>
      <c r="C108" s="10" t="n">
        <v>81.3</v>
      </c>
      <c r="D108" s="10" t="n">
        <v>29.3</v>
      </c>
      <c r="E108" s="10" t="n">
        <v>76.7</v>
      </c>
      <c r="F108" s="10"/>
      <c r="G108" s="10" t="n">
        <v>161.5</v>
      </c>
      <c r="H108" s="10" t="s">
        <v>684</v>
      </c>
    </row>
    <row r="109" customFormat="false" ht="14.25" hidden="false" customHeight="true" outlineLevel="0" collapsed="false">
      <c r="A109" s="16" t="n">
        <v>2023</v>
      </c>
      <c r="B109" s="16" t="s">
        <v>140</v>
      </c>
      <c r="C109" s="16" t="n">
        <v>60.5</v>
      </c>
      <c r="D109" s="16" t="n">
        <v>29.1</v>
      </c>
      <c r="E109" s="16" t="n">
        <v>97.2</v>
      </c>
      <c r="F109" s="16"/>
      <c r="G109" s="16" t="n">
        <v>202</v>
      </c>
      <c r="H109" s="16" t="s">
        <v>684</v>
      </c>
    </row>
    <row r="110" customFormat="false" ht="14.25" hidden="false" customHeight="true" outlineLevel="0" collapsed="false">
      <c r="A110" s="10" t="n">
        <v>2023</v>
      </c>
      <c r="B110" s="10" t="s">
        <v>145</v>
      </c>
      <c r="C110" s="10" t="n">
        <v>72.1</v>
      </c>
      <c r="D110" s="10" t="n">
        <v>28.9</v>
      </c>
      <c r="E110" s="10" t="n">
        <v>81.4</v>
      </c>
      <c r="F110" s="10"/>
      <c r="G110" s="10" t="n">
        <v>159</v>
      </c>
      <c r="H110" s="10" t="s">
        <v>684</v>
      </c>
    </row>
    <row r="111" customFormat="false" ht="14.25" hidden="false" customHeight="true" outlineLevel="0" collapsed="false">
      <c r="A111" s="16" t="n">
        <v>2023</v>
      </c>
      <c r="B111" s="16" t="s">
        <v>150</v>
      </c>
      <c r="C111" s="16" t="n">
        <v>121.9</v>
      </c>
      <c r="D111" s="16" t="n">
        <v>26.6</v>
      </c>
      <c r="E111" s="16" t="n">
        <v>40</v>
      </c>
      <c r="F111" s="16"/>
      <c r="G111" s="16" t="n">
        <v>81.3</v>
      </c>
      <c r="H111" s="16" t="s">
        <v>684</v>
      </c>
    </row>
    <row r="112" customFormat="false" ht="14.25" hidden="false" customHeight="true" outlineLevel="0" collapsed="false">
      <c r="A112" s="10" t="n">
        <v>2023</v>
      </c>
      <c r="B112" s="10" t="s">
        <v>156</v>
      </c>
      <c r="C112" s="10" t="n">
        <v>59.9</v>
      </c>
      <c r="D112" s="10" t="n">
        <v>24.5</v>
      </c>
      <c r="E112" s="10" t="n">
        <v>40</v>
      </c>
      <c r="F112" s="10" t="s">
        <v>683</v>
      </c>
      <c r="G112" s="10" t="n">
        <v>60.5</v>
      </c>
      <c r="H112" s="10" t="s">
        <v>684</v>
      </c>
    </row>
    <row r="113" customFormat="false" ht="14.25" hidden="false" customHeight="true" outlineLevel="0" collapsed="false">
      <c r="A113" s="16" t="n">
        <v>2024</v>
      </c>
      <c r="B113" s="16" t="s">
        <v>96</v>
      </c>
      <c r="C113" s="16" t="n">
        <v>38.4</v>
      </c>
      <c r="D113" s="16" t="n">
        <v>24.4</v>
      </c>
      <c r="E113" s="16" t="n">
        <v>40</v>
      </c>
      <c r="F113" s="16" t="s">
        <v>683</v>
      </c>
      <c r="G113" s="16" t="n">
        <v>72.1</v>
      </c>
      <c r="H113" s="16" t="s">
        <v>684</v>
      </c>
    </row>
    <row r="114" customFormat="false" ht="14.25" hidden="false" customHeight="true" outlineLevel="0" collapsed="false">
      <c r="A114" s="10" t="n">
        <v>2024</v>
      </c>
      <c r="B114" s="10" t="s">
        <v>102</v>
      </c>
      <c r="C114" s="10" t="n">
        <v>23.1</v>
      </c>
      <c r="D114" s="10" t="n">
        <v>25.9</v>
      </c>
      <c r="E114" s="10" t="n">
        <v>59.2</v>
      </c>
      <c r="F114" s="10" t="s">
        <v>683</v>
      </c>
      <c r="G114" s="10" t="n">
        <v>121.9</v>
      </c>
      <c r="H114" s="10" t="s">
        <v>684</v>
      </c>
    </row>
    <row r="115" customFormat="false" ht="14.25" hidden="false" customHeight="true" outlineLevel="0" collapsed="false">
      <c r="A115" s="16" t="n">
        <v>2024</v>
      </c>
      <c r="B115" s="16" t="s">
        <v>107</v>
      </c>
      <c r="C115" s="16" t="n">
        <v>10</v>
      </c>
      <c r="D115" s="16" t="n">
        <v>25.9</v>
      </c>
      <c r="E115" s="16" t="n">
        <v>40</v>
      </c>
      <c r="F115" s="16" t="s">
        <v>683</v>
      </c>
      <c r="G115" s="16" t="n">
        <v>59.9</v>
      </c>
      <c r="H115" s="16" t="s">
        <v>684</v>
      </c>
    </row>
    <row r="116" customFormat="false" ht="14.25" hidden="false" customHeight="true" outlineLevel="0" collapsed="false">
      <c r="A116" s="10" t="n">
        <v>2024</v>
      </c>
      <c r="B116" s="10" t="s">
        <v>113</v>
      </c>
      <c r="C116" s="10" t="n">
        <v>139.2</v>
      </c>
      <c r="D116" s="10" t="n">
        <v>28.2</v>
      </c>
      <c r="E116" s="10" t="n">
        <v>40</v>
      </c>
      <c r="F116" s="10"/>
      <c r="G116" s="10" t="n">
        <v>38.4</v>
      </c>
      <c r="H116" s="10" t="s">
        <v>684</v>
      </c>
    </row>
    <row r="117" customFormat="false" ht="14.25" hidden="false" customHeight="true" outlineLevel="0" collapsed="false">
      <c r="A117" s="16" t="n">
        <v>2024</v>
      </c>
      <c r="B117" s="16" t="s">
        <v>118</v>
      </c>
      <c r="C117" s="16" t="n">
        <v>205.7</v>
      </c>
      <c r="D117" s="16" t="n">
        <v>29.5</v>
      </c>
      <c r="E117" s="16" t="n">
        <v>40</v>
      </c>
      <c r="F117" s="16"/>
      <c r="G117" s="16" t="n">
        <v>23.1</v>
      </c>
      <c r="H117" s="16" t="s">
        <v>684</v>
      </c>
    </row>
    <row r="118" customFormat="false" ht="14.25" hidden="false" customHeight="true" outlineLevel="0" collapsed="false">
      <c r="A118" s="10" t="n">
        <v>2024</v>
      </c>
      <c r="B118" s="10" t="s">
        <v>123</v>
      </c>
      <c r="C118" s="10" t="n">
        <v>288.5</v>
      </c>
      <c r="D118" s="10" t="n">
        <v>30.1</v>
      </c>
      <c r="E118" s="10" t="n">
        <v>40</v>
      </c>
      <c r="F118" s="10"/>
      <c r="G118" s="10" t="n">
        <v>10</v>
      </c>
      <c r="H118" s="10" t="s">
        <v>684</v>
      </c>
    </row>
    <row r="119" customFormat="false" ht="14.25" hidden="false" customHeight="true" outlineLevel="0" collapsed="false">
      <c r="A119" s="16" t="n">
        <v>2024</v>
      </c>
      <c r="B119" s="16" t="s">
        <v>129</v>
      </c>
      <c r="C119" s="16" t="n">
        <v>163.5</v>
      </c>
      <c r="D119" s="16" t="n">
        <v>32.7</v>
      </c>
      <c r="E119" s="16" t="n">
        <v>69.4</v>
      </c>
      <c r="F119" s="16"/>
      <c r="G119" s="16" t="n">
        <v>139.2</v>
      </c>
      <c r="H119" s="16" t="s">
        <v>684</v>
      </c>
    </row>
    <row r="120" customFormat="false" ht="14.25" hidden="false" customHeight="true" outlineLevel="0" collapsed="false">
      <c r="A120" s="10" t="n">
        <v>2024</v>
      </c>
      <c r="B120" s="10" t="s">
        <v>134</v>
      </c>
      <c r="C120" s="10" t="n">
        <v>114.4</v>
      </c>
      <c r="D120" s="10" t="n">
        <v>31.1</v>
      </c>
      <c r="E120" s="10" t="n">
        <v>94.8</v>
      </c>
      <c r="F120" s="10"/>
      <c r="G120" s="10" t="n">
        <v>205.7</v>
      </c>
      <c r="H120" s="10" t="s">
        <v>684</v>
      </c>
    </row>
    <row r="121" customFormat="false" ht="14.25" hidden="false" customHeight="true" outlineLevel="0" collapsed="false">
      <c r="A121" s="16" t="n">
        <v>2024</v>
      </c>
      <c r="B121" s="16" t="s">
        <v>140</v>
      </c>
      <c r="C121" s="16" t="n">
        <v>64.3</v>
      </c>
      <c r="D121" s="16" t="n">
        <v>27.9</v>
      </c>
      <c r="E121" s="16" t="n">
        <v>110</v>
      </c>
      <c r="F121" s="16"/>
      <c r="G121" s="16" t="n">
        <v>288.5</v>
      </c>
      <c r="H121" s="16" t="s">
        <v>684</v>
      </c>
    </row>
    <row r="122" customFormat="false" ht="14.25" hidden="false" customHeight="true" outlineLevel="0" collapsed="false">
      <c r="A122" s="10" t="n">
        <v>2024</v>
      </c>
      <c r="B122" s="10" t="s">
        <v>145</v>
      </c>
      <c r="C122" s="10" t="n">
        <v>24.9</v>
      </c>
      <c r="D122" s="10" t="n">
        <v>28.1</v>
      </c>
      <c r="E122" s="10" t="n">
        <v>79.4</v>
      </c>
      <c r="F122" s="10" t="s">
        <v>683</v>
      </c>
      <c r="G122" s="10" t="n">
        <v>163.5</v>
      </c>
      <c r="H122" s="10" t="s">
        <v>684</v>
      </c>
    </row>
    <row r="123" customFormat="false" ht="14.25" hidden="false" customHeight="true" outlineLevel="0" collapsed="false">
      <c r="A123" s="16" t="n">
        <v>2024</v>
      </c>
      <c r="B123" s="16" t="s">
        <v>150</v>
      </c>
      <c r="C123" s="16" t="n">
        <v>99.6</v>
      </c>
      <c r="D123" s="16" t="n">
        <v>26</v>
      </c>
      <c r="E123" s="16" t="n">
        <v>59.8</v>
      </c>
      <c r="F123" s="16"/>
      <c r="G123" s="16" t="n">
        <v>114.4</v>
      </c>
      <c r="H123" s="16" t="s">
        <v>684</v>
      </c>
    </row>
    <row r="124" customFormat="false" ht="14.25" hidden="false" customHeight="true" outlineLevel="0" collapsed="false">
      <c r="A124" s="10" t="n">
        <v>2024</v>
      </c>
      <c r="B124" s="10" t="s">
        <v>156</v>
      </c>
      <c r="C124" s="10" t="n">
        <v>77.2</v>
      </c>
      <c r="D124" s="10" t="n">
        <v>26.1</v>
      </c>
      <c r="E124" s="10" t="n">
        <v>40</v>
      </c>
      <c r="F124" s="10"/>
      <c r="G124" s="10" t="n">
        <v>64.3</v>
      </c>
      <c r="H124" s="10" t="s">
        <v>684</v>
      </c>
    </row>
    <row r="128" customFormat="false" ht="29.25" hidden="false" customHeight="true" outlineLevel="0" collapsed="false">
      <c r="A128" s="19" t="s">
        <v>685</v>
      </c>
      <c r="B128" s="19"/>
      <c r="C128" s="19"/>
      <c r="D128" s="19"/>
      <c r="E128" s="19"/>
      <c r="F128" s="19"/>
      <c r="G128" s="19"/>
    </row>
  </sheetData>
  <mergeCells count="3">
    <mergeCell ref="A1:H1"/>
    <mergeCell ref="A2:H2"/>
    <mergeCell ref="A128:G1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1.11"/>
    <col collapsed="false" customWidth="true" hidden="false" outlineLevel="0" max="6" min="6" style="1" width="13.11"/>
    <col collapsed="false" customWidth="true" hidden="false" outlineLevel="0" max="7" min="7" style="1" width="13.75"/>
    <col collapsed="false" customWidth="true" hidden="false" outlineLevel="0" max="8" min="8" style="1" width="22"/>
    <col collapsed="false" customWidth="true" hidden="false" outlineLevel="0" max="9" min="9" style="1" width="26"/>
  </cols>
  <sheetData>
    <row r="1" customFormat="false" ht="30" hidden="false" customHeight="true" outlineLevel="0" collapsed="false">
      <c r="A1" s="2" t="s">
        <v>686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687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6.25" hidden="false" customHeight="true" outlineLevel="0" collapsed="false">
      <c r="A4" s="4" t="s">
        <v>86</v>
      </c>
      <c r="B4" s="4" t="s">
        <v>688</v>
      </c>
      <c r="C4" s="4" t="s">
        <v>689</v>
      </c>
      <c r="D4" s="4" t="s">
        <v>690</v>
      </c>
      <c r="E4" s="4" t="s">
        <v>691</v>
      </c>
      <c r="F4" s="4" t="s">
        <v>692</v>
      </c>
      <c r="G4" s="4" t="s">
        <v>693</v>
      </c>
      <c r="H4" s="4" t="s">
        <v>694</v>
      </c>
      <c r="I4" s="4" t="s">
        <v>649</v>
      </c>
    </row>
    <row r="5" customFormat="false" ht="14.25" hidden="false" customHeight="true" outlineLevel="0" collapsed="false">
      <c r="A5" s="7" t="n">
        <v>2015</v>
      </c>
      <c r="B5" s="7" t="s">
        <v>98</v>
      </c>
      <c r="C5" s="23" t="n">
        <f aca="false">0.41*100</f>
        <v>41</v>
      </c>
      <c r="D5" s="24" t="n">
        <v>-2.1</v>
      </c>
      <c r="E5" s="24" t="n">
        <v>-0.8</v>
      </c>
      <c r="F5" s="24" t="n">
        <v>-0.38</v>
      </c>
      <c r="G5" s="24" t="n">
        <v>35</v>
      </c>
      <c r="H5" s="7" t="s">
        <v>695</v>
      </c>
    </row>
    <row r="6" customFormat="false" ht="14.25" hidden="false" customHeight="true" outlineLevel="0" collapsed="false">
      <c r="A6" s="10" t="n">
        <v>2016</v>
      </c>
      <c r="B6" s="10" t="s">
        <v>98</v>
      </c>
      <c r="C6" s="25" t="n">
        <f aca="false">0.57*100</f>
        <v>57</v>
      </c>
      <c r="D6" s="26" t="n">
        <v>9.6</v>
      </c>
      <c r="E6" s="26" t="n">
        <v>-3.2</v>
      </c>
      <c r="F6" s="26" t="n">
        <v>-0.33</v>
      </c>
      <c r="G6" s="26" t="n">
        <v>33</v>
      </c>
      <c r="H6" s="10" t="s">
        <v>695</v>
      </c>
    </row>
    <row r="7" customFormat="false" ht="14.25" hidden="false" customHeight="true" outlineLevel="0" collapsed="false">
      <c r="A7" s="7" t="n">
        <v>2017</v>
      </c>
      <c r="B7" s="7" t="s">
        <v>98</v>
      </c>
      <c r="C7" s="23" t="n">
        <f aca="false">0.61*100</f>
        <v>61</v>
      </c>
      <c r="D7" s="24" t="n">
        <v>7</v>
      </c>
      <c r="E7" s="24" t="n">
        <v>-2.1</v>
      </c>
      <c r="F7" s="24" t="n">
        <v>-0.3</v>
      </c>
      <c r="G7" s="24" t="n">
        <v>31</v>
      </c>
      <c r="H7" s="7" t="s">
        <v>695</v>
      </c>
    </row>
    <row r="8" customFormat="false" ht="14.25" hidden="false" customHeight="true" outlineLevel="0" collapsed="false">
      <c r="A8" s="10" t="n">
        <v>2018</v>
      </c>
      <c r="B8" s="10" t="s">
        <v>98</v>
      </c>
      <c r="C8" s="25" t="n">
        <f aca="false">0.65*100</f>
        <v>65</v>
      </c>
      <c r="D8" s="26" t="n">
        <v>6.6</v>
      </c>
      <c r="E8" s="26" t="n">
        <v>-2</v>
      </c>
      <c r="F8" s="26" t="n">
        <v>-0.3</v>
      </c>
      <c r="G8" s="26" t="n">
        <v>30</v>
      </c>
      <c r="H8" s="10" t="s">
        <v>695</v>
      </c>
    </row>
    <row r="9" customFormat="false" ht="14.25" hidden="false" customHeight="true" outlineLevel="0" collapsed="false">
      <c r="A9" s="7" t="n">
        <v>2019</v>
      </c>
      <c r="B9" s="7" t="s">
        <v>319</v>
      </c>
      <c r="C9" s="23" t="n">
        <f aca="false">0.72*100</f>
        <v>72</v>
      </c>
      <c r="D9" s="24" t="n">
        <v>10.8</v>
      </c>
      <c r="E9" s="24" t="n">
        <v>-2.4</v>
      </c>
      <c r="F9" s="24" t="n">
        <v>-0.22</v>
      </c>
      <c r="G9" s="24" t="n">
        <v>25</v>
      </c>
      <c r="H9" s="7" t="s">
        <v>696</v>
      </c>
    </row>
    <row r="10" customFormat="false" ht="14.25" hidden="false" customHeight="true" outlineLevel="0" collapsed="false">
      <c r="A10" s="10" t="n">
        <v>2020</v>
      </c>
      <c r="B10" s="10" t="s">
        <v>319</v>
      </c>
      <c r="C10" s="25" t="n">
        <f aca="false">0.78*100</f>
        <v>78</v>
      </c>
      <c r="D10" s="26" t="n">
        <v>8.3</v>
      </c>
      <c r="E10" s="26" t="n">
        <v>-1.8</v>
      </c>
      <c r="F10" s="26" t="n">
        <v>-0.22</v>
      </c>
      <c r="G10" s="26" t="n">
        <v>24</v>
      </c>
      <c r="H10" s="10" t="s">
        <v>696</v>
      </c>
    </row>
    <row r="11" customFormat="false" ht="14.25" hidden="false" customHeight="true" outlineLevel="0" collapsed="false">
      <c r="A11" s="7" t="n">
        <v>2021</v>
      </c>
      <c r="B11" s="7" t="s">
        <v>408</v>
      </c>
      <c r="C11" s="23" t="n">
        <f aca="false">0.93*100</f>
        <v>93</v>
      </c>
      <c r="D11" s="24" t="n">
        <v>19.2</v>
      </c>
      <c r="E11" s="24" t="n">
        <v>-2.3</v>
      </c>
      <c r="F11" s="24" t="n">
        <v>-0.12</v>
      </c>
      <c r="G11" s="24" t="n">
        <v>13</v>
      </c>
      <c r="H11" s="7" t="s">
        <v>697</v>
      </c>
    </row>
    <row r="12" customFormat="false" ht="14.25" hidden="false" customHeight="true" outlineLevel="0" collapsed="false">
      <c r="A12" s="10" t="n">
        <v>2022</v>
      </c>
      <c r="B12" s="10" t="s">
        <v>408</v>
      </c>
      <c r="C12" s="25" t="n">
        <f aca="false">1.05*100</f>
        <v>105</v>
      </c>
      <c r="D12" s="26" t="n">
        <v>12.9</v>
      </c>
      <c r="E12" s="26" t="n">
        <v>-1.5</v>
      </c>
      <c r="F12" s="26" t="n">
        <v>-0.12</v>
      </c>
      <c r="G12" s="26" t="n">
        <v>12</v>
      </c>
      <c r="H12" s="10" t="s">
        <v>697</v>
      </c>
    </row>
    <row r="13" customFormat="false" ht="14.25" hidden="false" customHeight="true" outlineLevel="0" collapsed="false">
      <c r="A13" s="7" t="n">
        <v>2023</v>
      </c>
      <c r="B13" s="7" t="s">
        <v>319</v>
      </c>
      <c r="C13" s="23" t="n">
        <f aca="false">0.88*100</f>
        <v>88</v>
      </c>
      <c r="D13" s="24" t="n">
        <v>-16.2</v>
      </c>
      <c r="E13" s="24" t="n">
        <v>2.1</v>
      </c>
      <c r="F13" s="24" t="n">
        <v>-0.13</v>
      </c>
      <c r="G13" s="24" t="n">
        <v>22</v>
      </c>
      <c r="H13" s="7" t="s">
        <v>696</v>
      </c>
    </row>
    <row r="14" customFormat="false" ht="14.25" hidden="false" customHeight="true" outlineLevel="0" collapsed="false">
      <c r="A14" s="10" t="n">
        <v>2024</v>
      </c>
      <c r="B14" s="10" t="s">
        <v>319</v>
      </c>
      <c r="C14" s="25" t="n">
        <f aca="false">0.95*100</f>
        <v>95</v>
      </c>
      <c r="D14" s="26" t="n">
        <v>8</v>
      </c>
      <c r="E14" s="26" t="n">
        <v>-1.8</v>
      </c>
      <c r="F14" s="26" t="n">
        <v>-0.22</v>
      </c>
      <c r="G14" s="26" t="n">
        <v>22</v>
      </c>
      <c r="H14" s="10" t="s">
        <v>696</v>
      </c>
    </row>
    <row r="16" customFormat="false" ht="49.5" hidden="false" customHeight="true" outlineLevel="0" collapsed="false">
      <c r="A16" s="19" t="s">
        <v>698</v>
      </c>
      <c r="B16" s="19"/>
      <c r="C16" s="19"/>
      <c r="D16" s="19"/>
      <c r="E16" s="19"/>
      <c r="F16" s="19"/>
      <c r="G16" s="19"/>
      <c r="H16" s="19"/>
    </row>
  </sheetData>
  <mergeCells count="3">
    <mergeCell ref="A1:J1"/>
    <mergeCell ref="A2:J2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8" min="8" style="1" width="14"/>
    <col collapsed="false" customWidth="true" hidden="false" outlineLevel="0" max="11" min="11" style="1" width="26"/>
  </cols>
  <sheetData>
    <row r="1" customFormat="false" ht="30" hidden="false" customHeight="true" outlineLevel="0" collapsed="false">
      <c r="A1" s="2" t="s">
        <v>699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700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6.25" hidden="false" customHeight="true" outlineLevel="0" collapsed="false">
      <c r="A4" s="4" t="s">
        <v>86</v>
      </c>
      <c r="B4" s="4" t="s">
        <v>701</v>
      </c>
      <c r="C4" s="4" t="s">
        <v>702</v>
      </c>
      <c r="D4" s="4" t="s">
        <v>703</v>
      </c>
      <c r="E4" s="4" t="s">
        <v>704</v>
      </c>
      <c r="F4" s="4" t="s">
        <v>705</v>
      </c>
      <c r="G4" s="4" t="s">
        <v>706</v>
      </c>
      <c r="H4" s="4" t="s">
        <v>707</v>
      </c>
      <c r="I4" s="4" t="s">
        <v>708</v>
      </c>
      <c r="J4" s="4" t="s">
        <v>709</v>
      </c>
      <c r="K4" s="4" t="s">
        <v>649</v>
      </c>
    </row>
    <row r="5" customFormat="false" ht="14.25" hidden="false" customHeight="true" outlineLevel="0" collapsed="false">
      <c r="A5" s="10" t="n">
        <v>2015</v>
      </c>
      <c r="B5" s="10" t="s">
        <v>710</v>
      </c>
      <c r="C5" s="10" t="n">
        <v>2.5</v>
      </c>
      <c r="D5" s="10" t="n">
        <v>4000</v>
      </c>
      <c r="E5" s="11" t="n">
        <v>10000</v>
      </c>
      <c r="F5" s="12" t="n">
        <v>336.21</v>
      </c>
      <c r="G5" s="11" t="n">
        <v>3362100</v>
      </c>
      <c r="H5" s="11" t="n">
        <v>2045956</v>
      </c>
      <c r="I5" s="11" t="n">
        <v>1316144</v>
      </c>
      <c r="J5" s="27" t="n">
        <v>39.1</v>
      </c>
      <c r="K5" s="10" t="s">
        <v>711</v>
      </c>
    </row>
    <row r="6" customFormat="false" ht="14.25" hidden="false" customHeight="true" outlineLevel="0" collapsed="false">
      <c r="A6" s="7" t="n">
        <v>2015</v>
      </c>
      <c r="B6" s="7" t="s">
        <v>712</v>
      </c>
      <c r="C6" s="7" t="n">
        <v>2.5</v>
      </c>
      <c r="D6" s="7" t="n">
        <v>3947</v>
      </c>
      <c r="E6" s="8" t="n">
        <v>9868</v>
      </c>
      <c r="F6" s="9" t="n">
        <v>336.21</v>
      </c>
      <c r="G6" s="8" t="n">
        <v>3317720</v>
      </c>
      <c r="H6" s="8" t="n">
        <v>2140203</v>
      </c>
      <c r="I6" s="8" t="n">
        <v>1177517</v>
      </c>
      <c r="J6" s="28" t="n">
        <v>35.5</v>
      </c>
      <c r="K6" s="7" t="s">
        <v>711</v>
      </c>
    </row>
    <row r="7" customFormat="false" ht="14.25" hidden="false" customHeight="true" outlineLevel="0" collapsed="false">
      <c r="A7" s="10" t="n">
        <v>2015</v>
      </c>
      <c r="B7" s="10" t="s">
        <v>713</v>
      </c>
      <c r="C7" s="10" t="n">
        <v>2.5</v>
      </c>
      <c r="D7" s="10" t="n">
        <v>4490</v>
      </c>
      <c r="E7" s="11" t="n">
        <v>11225</v>
      </c>
      <c r="F7" s="12" t="n">
        <v>336.21</v>
      </c>
      <c r="G7" s="11" t="n">
        <v>3773957</v>
      </c>
      <c r="H7" s="11" t="n">
        <v>2196831</v>
      </c>
      <c r="I7" s="11" t="n">
        <v>1577126</v>
      </c>
      <c r="J7" s="27" t="n">
        <v>41.8</v>
      </c>
      <c r="K7" s="10" t="s">
        <v>711</v>
      </c>
    </row>
    <row r="8" customFormat="false" ht="14.25" hidden="false" customHeight="true" outlineLevel="0" collapsed="false">
      <c r="A8" s="7" t="n">
        <v>2016</v>
      </c>
      <c r="B8" s="7" t="s">
        <v>710</v>
      </c>
      <c r="C8" s="7" t="n">
        <v>2.5</v>
      </c>
      <c r="D8" s="7" t="n">
        <v>4311</v>
      </c>
      <c r="E8" s="8" t="n">
        <v>10778</v>
      </c>
      <c r="F8" s="9" t="n">
        <v>270.38</v>
      </c>
      <c r="G8" s="8" t="n">
        <v>2914156</v>
      </c>
      <c r="H8" s="8" t="n">
        <v>1715529</v>
      </c>
      <c r="I8" s="8" t="n">
        <v>1198627</v>
      </c>
      <c r="J8" s="28" t="n">
        <v>41.1</v>
      </c>
      <c r="K8" s="7" t="s">
        <v>711</v>
      </c>
    </row>
    <row r="9" customFormat="false" ht="14.25" hidden="false" customHeight="true" outlineLevel="0" collapsed="false">
      <c r="A9" s="10" t="n">
        <v>2016</v>
      </c>
      <c r="B9" s="10" t="s">
        <v>712</v>
      </c>
      <c r="C9" s="10" t="n">
        <v>2.5</v>
      </c>
      <c r="D9" s="10" t="n">
        <v>3716</v>
      </c>
      <c r="E9" s="11" t="n">
        <v>9290</v>
      </c>
      <c r="F9" s="12" t="n">
        <v>270.38</v>
      </c>
      <c r="G9" s="11" t="n">
        <v>2511830</v>
      </c>
      <c r="H9" s="11" t="n">
        <v>1620680</v>
      </c>
      <c r="I9" s="11" t="n">
        <v>891150</v>
      </c>
      <c r="J9" s="27" t="n">
        <v>35.5</v>
      </c>
      <c r="K9" s="10" t="s">
        <v>711</v>
      </c>
    </row>
    <row r="10" customFormat="false" ht="14.25" hidden="false" customHeight="true" outlineLevel="0" collapsed="false">
      <c r="A10" s="7" t="n">
        <v>2016</v>
      </c>
      <c r="B10" s="7" t="s">
        <v>713</v>
      </c>
      <c r="C10" s="7" t="n">
        <v>2.5</v>
      </c>
      <c r="D10" s="7" t="n">
        <v>4343</v>
      </c>
      <c r="E10" s="8" t="n">
        <v>10858</v>
      </c>
      <c r="F10" s="9" t="n">
        <v>270.38</v>
      </c>
      <c r="G10" s="8" t="n">
        <v>2935786</v>
      </c>
      <c r="H10" s="8" t="n">
        <v>1899827</v>
      </c>
      <c r="I10" s="8" t="n">
        <v>1035959</v>
      </c>
      <c r="J10" s="28" t="n">
        <v>35.3</v>
      </c>
      <c r="K10" s="7" t="s">
        <v>711</v>
      </c>
    </row>
    <row r="11" customFormat="false" ht="14.25" hidden="false" customHeight="true" outlineLevel="0" collapsed="false">
      <c r="A11" s="10" t="n">
        <v>2017</v>
      </c>
      <c r="B11" s="10" t="s">
        <v>710</v>
      </c>
      <c r="C11" s="10" t="n">
        <v>2.5</v>
      </c>
      <c r="D11" s="10" t="n">
        <v>4172</v>
      </c>
      <c r="E11" s="11" t="n">
        <v>10430</v>
      </c>
      <c r="F11" s="12" t="n">
        <v>458.96</v>
      </c>
      <c r="G11" s="11" t="n">
        <v>4786953</v>
      </c>
      <c r="H11" s="11" t="n">
        <v>2516074</v>
      </c>
      <c r="I11" s="11" t="n">
        <v>2270879</v>
      </c>
      <c r="J11" s="27" t="n">
        <v>47.4</v>
      </c>
      <c r="K11" s="10" t="s">
        <v>711</v>
      </c>
    </row>
    <row r="12" customFormat="false" ht="14.25" hidden="false" customHeight="true" outlineLevel="0" collapsed="false">
      <c r="A12" s="7" t="n">
        <v>2017</v>
      </c>
      <c r="B12" s="7" t="s">
        <v>712</v>
      </c>
      <c r="C12" s="7" t="n">
        <v>2.5</v>
      </c>
      <c r="D12" s="7" t="n">
        <v>3748</v>
      </c>
      <c r="E12" s="8" t="n">
        <v>9370</v>
      </c>
      <c r="F12" s="9" t="n">
        <v>458.96</v>
      </c>
      <c r="G12" s="8" t="n">
        <v>4300455</v>
      </c>
      <c r="H12" s="8" t="n">
        <v>2260500</v>
      </c>
      <c r="I12" s="8" t="n">
        <v>2039955</v>
      </c>
      <c r="J12" s="28" t="n">
        <v>47.4</v>
      </c>
      <c r="K12" s="7" t="s">
        <v>711</v>
      </c>
    </row>
    <row r="13" customFormat="false" ht="14.25" hidden="false" customHeight="true" outlineLevel="0" collapsed="false">
      <c r="A13" s="10" t="n">
        <v>2017</v>
      </c>
      <c r="B13" s="10" t="s">
        <v>713</v>
      </c>
      <c r="C13" s="10" t="n">
        <v>2.5</v>
      </c>
      <c r="D13" s="10" t="n">
        <v>4512</v>
      </c>
      <c r="E13" s="11" t="n">
        <v>11280</v>
      </c>
      <c r="F13" s="12" t="n">
        <v>458.96</v>
      </c>
      <c r="G13" s="11" t="n">
        <v>5177069</v>
      </c>
      <c r="H13" s="11" t="n">
        <v>3360360</v>
      </c>
      <c r="I13" s="11" t="n">
        <v>1816709</v>
      </c>
      <c r="J13" s="27" t="n">
        <v>35.1</v>
      </c>
      <c r="K13" s="10" t="s">
        <v>711</v>
      </c>
    </row>
    <row r="14" customFormat="false" ht="14.25" hidden="false" customHeight="true" outlineLevel="0" collapsed="false">
      <c r="A14" s="7" t="n">
        <v>2018</v>
      </c>
      <c r="B14" s="7" t="s">
        <v>710</v>
      </c>
      <c r="C14" s="7" t="n">
        <v>2.5</v>
      </c>
      <c r="D14" s="7" t="n">
        <v>4228</v>
      </c>
      <c r="E14" s="8" t="n">
        <v>10570</v>
      </c>
      <c r="F14" s="9" t="n">
        <v>481.23</v>
      </c>
      <c r="G14" s="8" t="n">
        <v>5086601</v>
      </c>
      <c r="H14" s="8" t="n">
        <v>2812324</v>
      </c>
      <c r="I14" s="8" t="n">
        <v>2274277</v>
      </c>
      <c r="J14" s="28" t="n">
        <v>44.7</v>
      </c>
      <c r="K14" s="7" t="s">
        <v>711</v>
      </c>
    </row>
    <row r="15" customFormat="false" ht="14.25" hidden="false" customHeight="true" outlineLevel="0" collapsed="false">
      <c r="A15" s="10" t="n">
        <v>2018</v>
      </c>
      <c r="B15" s="10" t="s">
        <v>712</v>
      </c>
      <c r="C15" s="10" t="n">
        <v>2.5</v>
      </c>
      <c r="D15" s="10" t="n">
        <v>3746</v>
      </c>
      <c r="E15" s="11" t="n">
        <v>9365</v>
      </c>
      <c r="F15" s="12" t="n">
        <v>481.23</v>
      </c>
      <c r="G15" s="11" t="n">
        <v>4506719</v>
      </c>
      <c r="H15" s="11" t="n">
        <v>2911383</v>
      </c>
      <c r="I15" s="11" t="n">
        <v>1595336</v>
      </c>
      <c r="J15" s="27" t="n">
        <v>35.4</v>
      </c>
      <c r="K15" s="10" t="s">
        <v>711</v>
      </c>
    </row>
    <row r="16" customFormat="false" ht="14.25" hidden="false" customHeight="true" outlineLevel="0" collapsed="false">
      <c r="A16" s="7" t="n">
        <v>2018</v>
      </c>
      <c r="B16" s="7" t="s">
        <v>713</v>
      </c>
      <c r="C16" s="7" t="n">
        <v>2.5</v>
      </c>
      <c r="D16" s="7" t="n">
        <v>4346</v>
      </c>
      <c r="E16" s="8" t="n">
        <v>10865</v>
      </c>
      <c r="F16" s="9" t="n">
        <v>481.23</v>
      </c>
      <c r="G16" s="8" t="n">
        <v>5228564</v>
      </c>
      <c r="H16" s="8" t="n">
        <v>3146664</v>
      </c>
      <c r="I16" s="8" t="n">
        <v>2081900</v>
      </c>
      <c r="J16" s="28" t="n">
        <v>39.8</v>
      </c>
      <c r="K16" s="7" t="s">
        <v>711</v>
      </c>
    </row>
    <row r="17" customFormat="false" ht="14.25" hidden="false" customHeight="true" outlineLevel="0" collapsed="false">
      <c r="A17" s="10" t="n">
        <v>2019</v>
      </c>
      <c r="B17" s="10" t="s">
        <v>710</v>
      </c>
      <c r="C17" s="10" t="n">
        <v>2.5</v>
      </c>
      <c r="D17" s="10" t="n">
        <v>4013</v>
      </c>
      <c r="E17" s="11" t="n">
        <v>10032</v>
      </c>
      <c r="F17" s="12" t="n">
        <v>262.25</v>
      </c>
      <c r="G17" s="11" t="n">
        <v>2630892</v>
      </c>
      <c r="H17" s="11" t="n">
        <v>1468785</v>
      </c>
      <c r="I17" s="11" t="n">
        <v>1162107</v>
      </c>
      <c r="J17" s="27" t="n">
        <v>44.2</v>
      </c>
      <c r="K17" s="10" t="s">
        <v>711</v>
      </c>
    </row>
    <row r="18" customFormat="false" ht="14.25" hidden="false" customHeight="true" outlineLevel="0" collapsed="false">
      <c r="A18" s="7" t="n">
        <v>2019</v>
      </c>
      <c r="B18" s="7" t="s">
        <v>712</v>
      </c>
      <c r="C18" s="7" t="n">
        <v>2.5</v>
      </c>
      <c r="D18" s="7" t="n">
        <v>3600</v>
      </c>
      <c r="E18" s="8" t="n">
        <v>9000</v>
      </c>
      <c r="F18" s="9" t="n">
        <v>262.25</v>
      </c>
      <c r="G18" s="8" t="n">
        <v>2360250</v>
      </c>
      <c r="H18" s="8" t="n">
        <v>1419885</v>
      </c>
      <c r="I18" s="8" t="n">
        <v>940365</v>
      </c>
      <c r="J18" s="28" t="n">
        <v>39.8</v>
      </c>
      <c r="K18" s="7" t="s">
        <v>711</v>
      </c>
    </row>
    <row r="19" customFormat="false" ht="14.25" hidden="false" customHeight="true" outlineLevel="0" collapsed="false">
      <c r="A19" s="10" t="n">
        <v>2019</v>
      </c>
      <c r="B19" s="10" t="s">
        <v>713</v>
      </c>
      <c r="C19" s="10" t="n">
        <v>2.5</v>
      </c>
      <c r="D19" s="10" t="n">
        <v>4673</v>
      </c>
      <c r="E19" s="11" t="n">
        <v>11682</v>
      </c>
      <c r="F19" s="12" t="n">
        <v>262.25</v>
      </c>
      <c r="G19" s="11" t="n">
        <v>3063604</v>
      </c>
      <c r="H19" s="11" t="n">
        <v>1746090</v>
      </c>
      <c r="I19" s="11" t="n">
        <v>1317514</v>
      </c>
      <c r="J19" s="27" t="n">
        <v>43</v>
      </c>
      <c r="K19" s="10" t="s">
        <v>711</v>
      </c>
    </row>
    <row r="20" customFormat="false" ht="14.25" hidden="false" customHeight="true" outlineLevel="0" collapsed="false">
      <c r="A20" s="7" t="n">
        <v>2020</v>
      </c>
      <c r="B20" s="7" t="s">
        <v>710</v>
      </c>
      <c r="C20" s="7" t="n">
        <v>2.5</v>
      </c>
      <c r="D20" s="7" t="n">
        <v>4011</v>
      </c>
      <c r="E20" s="8" t="n">
        <v>10028</v>
      </c>
      <c r="F20" s="9" t="n">
        <v>495.42</v>
      </c>
      <c r="G20" s="8" t="n">
        <v>4968072</v>
      </c>
      <c r="H20" s="8" t="n">
        <v>3202575</v>
      </c>
      <c r="I20" s="8" t="n">
        <v>1765497</v>
      </c>
      <c r="J20" s="28" t="n">
        <v>35.5</v>
      </c>
      <c r="K20" s="7" t="s">
        <v>711</v>
      </c>
    </row>
    <row r="21" customFormat="false" ht="14.25" hidden="false" customHeight="true" outlineLevel="0" collapsed="false">
      <c r="A21" s="10" t="n">
        <v>2020</v>
      </c>
      <c r="B21" s="10" t="s">
        <v>712</v>
      </c>
      <c r="C21" s="10" t="n">
        <v>2.5</v>
      </c>
      <c r="D21" s="10" t="n">
        <v>3871</v>
      </c>
      <c r="E21" s="11" t="n">
        <v>9678</v>
      </c>
      <c r="F21" s="12" t="n">
        <v>495.42</v>
      </c>
      <c r="G21" s="11" t="n">
        <v>4794675</v>
      </c>
      <c r="H21" s="11" t="n">
        <v>3048139</v>
      </c>
      <c r="I21" s="11" t="n">
        <v>1746536</v>
      </c>
      <c r="J21" s="27" t="n">
        <v>36.4</v>
      </c>
      <c r="K21" s="10" t="s">
        <v>711</v>
      </c>
    </row>
    <row r="22" customFormat="false" ht="14.25" hidden="false" customHeight="true" outlineLevel="0" collapsed="false">
      <c r="A22" s="7" t="n">
        <v>2020</v>
      </c>
      <c r="B22" s="7" t="s">
        <v>713</v>
      </c>
      <c r="C22" s="7" t="n">
        <v>2.5</v>
      </c>
      <c r="D22" s="7" t="n">
        <v>4455</v>
      </c>
      <c r="E22" s="8" t="n">
        <v>11138</v>
      </c>
      <c r="F22" s="9" t="n">
        <v>495.42</v>
      </c>
      <c r="G22" s="8" t="n">
        <v>5517988</v>
      </c>
      <c r="H22" s="8" t="n">
        <v>3110136</v>
      </c>
      <c r="I22" s="8" t="n">
        <v>2407852</v>
      </c>
      <c r="J22" s="28" t="n">
        <v>43.6</v>
      </c>
      <c r="K22" s="7" t="s">
        <v>711</v>
      </c>
    </row>
    <row r="23" customFormat="false" ht="14.25" hidden="false" customHeight="true" outlineLevel="0" collapsed="false">
      <c r="A23" s="10" t="n">
        <v>2021</v>
      </c>
      <c r="B23" s="10" t="s">
        <v>710</v>
      </c>
      <c r="C23" s="10" t="n">
        <v>2.5</v>
      </c>
      <c r="D23" s="10" t="n">
        <v>4121</v>
      </c>
      <c r="E23" s="11" t="n">
        <v>10302</v>
      </c>
      <c r="F23" s="12" t="n">
        <v>561.93</v>
      </c>
      <c r="G23" s="11" t="n">
        <v>5789003</v>
      </c>
      <c r="H23" s="11" t="n">
        <v>3151856</v>
      </c>
      <c r="I23" s="11" t="n">
        <v>2637147</v>
      </c>
      <c r="J23" s="27" t="n">
        <v>45.6</v>
      </c>
      <c r="K23" s="10" t="s">
        <v>711</v>
      </c>
    </row>
    <row r="24" customFormat="false" ht="14.25" hidden="false" customHeight="true" outlineLevel="0" collapsed="false">
      <c r="A24" s="7" t="n">
        <v>2021</v>
      </c>
      <c r="B24" s="7" t="s">
        <v>712</v>
      </c>
      <c r="C24" s="7" t="n">
        <v>2.5</v>
      </c>
      <c r="D24" s="7" t="n">
        <v>3689</v>
      </c>
      <c r="E24" s="8" t="n">
        <v>9222</v>
      </c>
      <c r="F24" s="9" t="n">
        <v>561.93</v>
      </c>
      <c r="G24" s="8" t="n">
        <v>5182118</v>
      </c>
      <c r="H24" s="8" t="n">
        <v>2956268</v>
      </c>
      <c r="I24" s="8" t="n">
        <v>2225850</v>
      </c>
      <c r="J24" s="28" t="n">
        <v>43</v>
      </c>
      <c r="K24" s="7" t="s">
        <v>711</v>
      </c>
    </row>
    <row r="25" customFormat="false" ht="14.25" hidden="false" customHeight="true" outlineLevel="0" collapsed="false">
      <c r="A25" s="10" t="n">
        <v>2021</v>
      </c>
      <c r="B25" s="10" t="s">
        <v>713</v>
      </c>
      <c r="C25" s="10" t="n">
        <v>2.5</v>
      </c>
      <c r="D25" s="10" t="n">
        <v>4615</v>
      </c>
      <c r="E25" s="11" t="n">
        <v>11538</v>
      </c>
      <c r="F25" s="12" t="n">
        <v>561.93</v>
      </c>
      <c r="G25" s="11" t="n">
        <v>6483548</v>
      </c>
      <c r="H25" s="11" t="n">
        <v>3863386</v>
      </c>
      <c r="I25" s="11" t="n">
        <v>2620162</v>
      </c>
      <c r="J25" s="27" t="n">
        <v>40.4</v>
      </c>
      <c r="K25" s="10" t="s">
        <v>711</v>
      </c>
    </row>
    <row r="26" customFormat="false" ht="14.25" hidden="false" customHeight="true" outlineLevel="0" collapsed="false">
      <c r="A26" s="7" t="n">
        <v>2022</v>
      </c>
      <c r="B26" s="7" t="s">
        <v>710</v>
      </c>
      <c r="C26" s="7" t="n">
        <v>2.5</v>
      </c>
      <c r="D26" s="7" t="n">
        <v>4219</v>
      </c>
      <c r="E26" s="8" t="n">
        <v>10548</v>
      </c>
      <c r="F26" s="9" t="n">
        <v>602.12</v>
      </c>
      <c r="G26" s="8" t="n">
        <v>6351162</v>
      </c>
      <c r="H26" s="8" t="n">
        <v>3600124</v>
      </c>
      <c r="I26" s="8" t="n">
        <v>2751038</v>
      </c>
      <c r="J26" s="28" t="n">
        <v>43.3</v>
      </c>
      <c r="K26" s="7" t="s">
        <v>711</v>
      </c>
    </row>
    <row r="27" customFormat="false" ht="14.25" hidden="false" customHeight="true" outlineLevel="0" collapsed="false">
      <c r="A27" s="10" t="n">
        <v>2022</v>
      </c>
      <c r="B27" s="10" t="s">
        <v>712</v>
      </c>
      <c r="C27" s="10" t="n">
        <v>2.5</v>
      </c>
      <c r="D27" s="10" t="n">
        <v>3827</v>
      </c>
      <c r="E27" s="11" t="n">
        <v>9568</v>
      </c>
      <c r="F27" s="12" t="n">
        <v>602.12</v>
      </c>
      <c r="G27" s="11" t="n">
        <v>5761084</v>
      </c>
      <c r="H27" s="11" t="n">
        <v>3734377</v>
      </c>
      <c r="I27" s="11" t="n">
        <v>2026707</v>
      </c>
      <c r="J27" s="27" t="n">
        <v>35.2</v>
      </c>
      <c r="K27" s="10" t="s">
        <v>711</v>
      </c>
    </row>
    <row r="28" customFormat="false" ht="14.25" hidden="false" customHeight="true" outlineLevel="0" collapsed="false">
      <c r="A28" s="7" t="n">
        <v>2022</v>
      </c>
      <c r="B28" s="7" t="s">
        <v>713</v>
      </c>
      <c r="C28" s="7" t="n">
        <v>2.5</v>
      </c>
      <c r="D28" s="7" t="n">
        <v>4444</v>
      </c>
      <c r="E28" s="8" t="n">
        <v>11110</v>
      </c>
      <c r="F28" s="9" t="n">
        <v>602.12</v>
      </c>
      <c r="G28" s="8" t="n">
        <v>6689553</v>
      </c>
      <c r="H28" s="8" t="n">
        <v>3721862</v>
      </c>
      <c r="I28" s="8" t="n">
        <v>2967691</v>
      </c>
      <c r="J28" s="28" t="n">
        <v>44.4</v>
      </c>
      <c r="K28" s="7" t="s">
        <v>711</v>
      </c>
    </row>
    <row r="29" customFormat="false" ht="14.25" hidden="false" customHeight="true" outlineLevel="0" collapsed="false">
      <c r="A29" s="10" t="n">
        <v>2023</v>
      </c>
      <c r="B29" s="10" t="s">
        <v>710</v>
      </c>
      <c r="C29" s="10" t="n">
        <v>2.5</v>
      </c>
      <c r="D29" s="10" t="n">
        <v>4211</v>
      </c>
      <c r="E29" s="11" t="n">
        <v>10528</v>
      </c>
      <c r="F29" s="12" t="n">
        <v>709.57</v>
      </c>
      <c r="G29" s="11" t="n">
        <v>7470353</v>
      </c>
      <c r="H29" s="11" t="n">
        <v>4469973</v>
      </c>
      <c r="I29" s="11" t="n">
        <v>3000380</v>
      </c>
      <c r="J29" s="27" t="n">
        <v>40.2</v>
      </c>
      <c r="K29" s="10" t="s">
        <v>711</v>
      </c>
    </row>
    <row r="30" customFormat="false" ht="14.25" hidden="false" customHeight="true" outlineLevel="0" collapsed="false">
      <c r="A30" s="7" t="n">
        <v>2023</v>
      </c>
      <c r="B30" s="7" t="s">
        <v>712</v>
      </c>
      <c r="C30" s="7" t="n">
        <v>2.5</v>
      </c>
      <c r="D30" s="7" t="n">
        <v>3839</v>
      </c>
      <c r="E30" s="8" t="n">
        <v>9598</v>
      </c>
      <c r="F30" s="9" t="n">
        <v>709.57</v>
      </c>
      <c r="G30" s="8" t="n">
        <v>6810453</v>
      </c>
      <c r="H30" s="8" t="n">
        <v>3685410</v>
      </c>
      <c r="I30" s="8" t="n">
        <v>3125043</v>
      </c>
      <c r="J30" s="28" t="n">
        <v>45.9</v>
      </c>
      <c r="K30" s="7" t="s">
        <v>711</v>
      </c>
    </row>
    <row r="31" customFormat="false" ht="14.25" hidden="false" customHeight="true" outlineLevel="0" collapsed="false">
      <c r="A31" s="10" t="n">
        <v>2023</v>
      </c>
      <c r="B31" s="10" t="s">
        <v>713</v>
      </c>
      <c r="C31" s="10" t="n">
        <v>2.5</v>
      </c>
      <c r="D31" s="10" t="n">
        <v>4345</v>
      </c>
      <c r="E31" s="11" t="n">
        <v>10862</v>
      </c>
      <c r="F31" s="12" t="n">
        <v>709.57</v>
      </c>
      <c r="G31" s="11" t="n">
        <v>7707349</v>
      </c>
      <c r="H31" s="11" t="n">
        <v>4084171</v>
      </c>
      <c r="I31" s="11" t="n">
        <v>3623178</v>
      </c>
      <c r="J31" s="27" t="n">
        <v>47</v>
      </c>
      <c r="K31" s="10" t="s">
        <v>711</v>
      </c>
    </row>
    <row r="32" customFormat="false" ht="14.25" hidden="false" customHeight="true" outlineLevel="0" collapsed="false">
      <c r="A32" s="7" t="n">
        <v>2024</v>
      </c>
      <c r="B32" s="7" t="s">
        <v>710</v>
      </c>
      <c r="C32" s="7" t="n">
        <v>2.5</v>
      </c>
      <c r="D32" s="7" t="n">
        <v>4389</v>
      </c>
      <c r="E32" s="8" t="n">
        <v>10972</v>
      </c>
      <c r="F32" s="9" t="n">
        <v>795.59</v>
      </c>
      <c r="G32" s="8" t="n">
        <v>8729213</v>
      </c>
      <c r="H32" s="8" t="n">
        <v>5617022</v>
      </c>
      <c r="I32" s="8" t="n">
        <v>3112191</v>
      </c>
      <c r="J32" s="28" t="n">
        <v>35.7</v>
      </c>
      <c r="K32" s="7" t="s">
        <v>711</v>
      </c>
    </row>
    <row r="33" customFormat="false" ht="14.25" hidden="false" customHeight="true" outlineLevel="0" collapsed="false">
      <c r="A33" s="10" t="n">
        <v>2024</v>
      </c>
      <c r="B33" s="10" t="s">
        <v>712</v>
      </c>
      <c r="C33" s="10" t="n">
        <v>2.5</v>
      </c>
      <c r="D33" s="10" t="n">
        <v>3855</v>
      </c>
      <c r="E33" s="11" t="n">
        <v>9638</v>
      </c>
      <c r="F33" s="12" t="n">
        <v>795.59</v>
      </c>
      <c r="G33" s="11" t="n">
        <v>7667896</v>
      </c>
      <c r="H33" s="11" t="n">
        <v>4566624</v>
      </c>
      <c r="I33" s="11" t="n">
        <v>3101272</v>
      </c>
      <c r="J33" s="27" t="n">
        <v>40.4</v>
      </c>
      <c r="K33" s="10" t="s">
        <v>711</v>
      </c>
    </row>
    <row r="34" customFormat="false" ht="14.25" hidden="false" customHeight="true" outlineLevel="0" collapsed="false">
      <c r="A34" s="7" t="n">
        <v>2024</v>
      </c>
      <c r="B34" s="7" t="s">
        <v>713</v>
      </c>
      <c r="C34" s="7" t="n">
        <v>2.5</v>
      </c>
      <c r="D34" s="7" t="n">
        <v>4309</v>
      </c>
      <c r="E34" s="8" t="n">
        <v>10772</v>
      </c>
      <c r="F34" s="9" t="n">
        <v>795.59</v>
      </c>
      <c r="G34" s="8" t="n">
        <v>8570095</v>
      </c>
      <c r="H34" s="8" t="n">
        <v>5495614</v>
      </c>
      <c r="I34" s="8" t="n">
        <v>3074481</v>
      </c>
      <c r="J34" s="28" t="n">
        <v>35.9</v>
      </c>
      <c r="K34" s="7" t="s">
        <v>711</v>
      </c>
    </row>
    <row r="37" customFormat="false" ht="50.25" hidden="false" customHeight="true" outlineLevel="0" collapsed="false">
      <c r="A37" s="19" t="s">
        <v>714</v>
      </c>
      <c r="B37" s="19"/>
      <c r="C37" s="19"/>
      <c r="D37" s="19"/>
      <c r="E37" s="19"/>
      <c r="F37" s="19"/>
      <c r="G37" s="19"/>
      <c r="H37" s="19"/>
      <c r="I37" s="19"/>
      <c r="J37" s="19"/>
    </row>
  </sheetData>
  <mergeCells count="3">
    <mergeCell ref="A1:L1"/>
    <mergeCell ref="A2:L2"/>
    <mergeCell ref="A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1.88"/>
    <col collapsed="false" customWidth="true" hidden="false" outlineLevel="0" max="5" min="5" style="1" width="21.44"/>
    <col collapsed="false" customWidth="true" hidden="false" outlineLevel="0" max="6" min="6" style="1" width="22"/>
    <col collapsed="false" customWidth="true" hidden="false" outlineLevel="0" max="7" min="7" style="1" width="19.88"/>
    <col collapsed="false" customWidth="true" hidden="false" outlineLevel="0" max="8" min="8" style="1" width="37.22"/>
  </cols>
  <sheetData>
    <row r="1" customFormat="false" ht="30" hidden="false" customHeight="true" outlineLevel="0" collapsed="false">
      <c r="A1" s="2" t="s">
        <v>715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716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4" t="s">
        <v>86</v>
      </c>
      <c r="B4" s="4" t="s">
        <v>717</v>
      </c>
      <c r="C4" s="4" t="s">
        <v>718</v>
      </c>
      <c r="D4" s="4" t="s">
        <v>719</v>
      </c>
      <c r="E4" s="4" t="s">
        <v>720</v>
      </c>
      <c r="F4" s="4" t="s">
        <v>721</v>
      </c>
      <c r="G4" s="4" t="s">
        <v>722</v>
      </c>
      <c r="H4" s="4" t="s">
        <v>649</v>
      </c>
    </row>
    <row r="5" customFormat="false" ht="14.25" hidden="false" customHeight="true" outlineLevel="0" collapsed="false">
      <c r="A5" s="7" t="n">
        <v>2015</v>
      </c>
      <c r="B5" s="23" t="n">
        <f aca="false">0.41*100</f>
        <v>41</v>
      </c>
      <c r="C5" s="8" t="n">
        <f aca="false">0.38*100</f>
        <v>38</v>
      </c>
      <c r="D5" s="8" t="n">
        <f aca="false">0.45*100</f>
        <v>45</v>
      </c>
      <c r="E5" s="8" t="n">
        <f aca="false">0.48*100</f>
        <v>48</v>
      </c>
      <c r="F5" s="8" t="n">
        <f aca="false">0.35*100</f>
        <v>35</v>
      </c>
      <c r="G5" s="7" t="s">
        <v>723</v>
      </c>
      <c r="H5" s="7" t="s">
        <v>724</v>
      </c>
    </row>
    <row r="6" customFormat="false" ht="14.25" hidden="false" customHeight="true" outlineLevel="0" collapsed="false">
      <c r="A6" s="10" t="n">
        <v>2016</v>
      </c>
      <c r="B6" s="25" t="n">
        <f aca="false">0.57*100</f>
        <v>57</v>
      </c>
      <c r="C6" s="11" t="n">
        <f aca="false">0.4*100</f>
        <v>40</v>
      </c>
      <c r="D6" s="11" t="n">
        <f aca="false">0.47*100</f>
        <v>47</v>
      </c>
      <c r="E6" s="11" t="n">
        <f aca="false">0.5*100</f>
        <v>50</v>
      </c>
      <c r="F6" s="11" t="n">
        <f aca="false">0.37*100</f>
        <v>37</v>
      </c>
      <c r="G6" s="10" t="s">
        <v>725</v>
      </c>
      <c r="H6" s="10" t="s">
        <v>724</v>
      </c>
    </row>
    <row r="7" customFormat="false" ht="14.25" hidden="false" customHeight="true" outlineLevel="0" collapsed="false">
      <c r="A7" s="7" t="n">
        <v>2017</v>
      </c>
      <c r="B7" s="23" t="n">
        <f aca="false">0.61*100</f>
        <v>61</v>
      </c>
      <c r="C7" s="8" t="n">
        <f aca="false">0.42*100</f>
        <v>42</v>
      </c>
      <c r="D7" s="8" t="n">
        <f aca="false">0.5*100</f>
        <v>50</v>
      </c>
      <c r="E7" s="8" t="n">
        <f aca="false">0.53*100</f>
        <v>53</v>
      </c>
      <c r="F7" s="8" t="n">
        <f aca="false">0.39*100</f>
        <v>39</v>
      </c>
      <c r="G7" s="7" t="s">
        <v>726</v>
      </c>
      <c r="H7" s="7" t="s">
        <v>724</v>
      </c>
    </row>
    <row r="8" customFormat="false" ht="14.25" hidden="false" customHeight="true" outlineLevel="0" collapsed="false">
      <c r="A8" s="10" t="n">
        <v>2018</v>
      </c>
      <c r="B8" s="25" t="n">
        <f aca="false">0.65*100</f>
        <v>65</v>
      </c>
      <c r="C8" s="11" t="n">
        <f aca="false">0.45*100</f>
        <v>45</v>
      </c>
      <c r="D8" s="11" t="n">
        <f aca="false">0.53*100</f>
        <v>53</v>
      </c>
      <c r="E8" s="11" t="n">
        <f aca="false">0.56*100</f>
        <v>56</v>
      </c>
      <c r="F8" s="11" t="n">
        <f aca="false">0.42*100</f>
        <v>42</v>
      </c>
      <c r="G8" s="10" t="s">
        <v>727</v>
      </c>
      <c r="H8" s="10" t="s">
        <v>724</v>
      </c>
    </row>
    <row r="9" customFormat="false" ht="14.25" hidden="false" customHeight="true" outlineLevel="0" collapsed="false">
      <c r="A9" s="7" t="n">
        <v>2019</v>
      </c>
      <c r="B9" s="23" t="n">
        <f aca="false">0.72*100</f>
        <v>72</v>
      </c>
      <c r="C9" s="8" t="n">
        <f aca="false">0.48*100</f>
        <v>48</v>
      </c>
      <c r="D9" s="8" t="n">
        <f aca="false">0.56*100</f>
        <v>56</v>
      </c>
      <c r="E9" s="8" t="n">
        <f aca="false">0.59*100</f>
        <v>59</v>
      </c>
      <c r="F9" s="8" t="n">
        <f aca="false">0.44*100</f>
        <v>44</v>
      </c>
      <c r="G9" s="7" t="s">
        <v>728</v>
      </c>
      <c r="H9" s="7" t="s">
        <v>724</v>
      </c>
    </row>
    <row r="10" customFormat="false" ht="14.25" hidden="false" customHeight="true" outlineLevel="0" collapsed="false">
      <c r="A10" s="10" t="n">
        <v>2020</v>
      </c>
      <c r="B10" s="25" t="n">
        <f aca="false">0.78*100</f>
        <v>78</v>
      </c>
      <c r="C10" s="11" t="n">
        <f aca="false">0.5*100</f>
        <v>50</v>
      </c>
      <c r="D10" s="11" t="n">
        <f aca="false">0.59*100</f>
        <v>59</v>
      </c>
      <c r="E10" s="11" t="n">
        <f aca="false">0.62*100</f>
        <v>62</v>
      </c>
      <c r="F10" s="11" t="n">
        <f aca="false">0.47*100</f>
        <v>47</v>
      </c>
      <c r="G10" s="10" t="s">
        <v>729</v>
      </c>
      <c r="H10" s="10" t="s">
        <v>724</v>
      </c>
    </row>
    <row r="11" customFormat="false" ht="14.25" hidden="false" customHeight="true" outlineLevel="0" collapsed="false">
      <c r="A11" s="7" t="n">
        <v>2021</v>
      </c>
      <c r="B11" s="23" t="n">
        <f aca="false">0.93*100</f>
        <v>93</v>
      </c>
      <c r="C11" s="8" t="n">
        <f aca="false">0.55*100</f>
        <v>55</v>
      </c>
      <c r="D11" s="8" t="n">
        <f aca="false">0.65*100</f>
        <v>65</v>
      </c>
      <c r="E11" s="8" t="n">
        <f aca="false">0.68*100</f>
        <v>68</v>
      </c>
      <c r="F11" s="8" t="n">
        <f aca="false">0.55*100</f>
        <v>55</v>
      </c>
      <c r="G11" s="7" t="s">
        <v>730</v>
      </c>
      <c r="H11" s="7" t="s">
        <v>724</v>
      </c>
    </row>
    <row r="12" customFormat="false" ht="14.25" hidden="false" customHeight="true" outlineLevel="0" collapsed="false">
      <c r="A12" s="10" t="n">
        <v>2022</v>
      </c>
      <c r="B12" s="25" t="n">
        <f aca="false">1.05*100</f>
        <v>105</v>
      </c>
      <c r="C12" s="11" t="n">
        <f aca="false">0.62*100</f>
        <v>62</v>
      </c>
      <c r="D12" s="11" t="n">
        <f aca="false">0.73*100</f>
        <v>73</v>
      </c>
      <c r="E12" s="11" t="n">
        <f aca="false">0.76*100</f>
        <v>76</v>
      </c>
      <c r="F12" s="11" t="n">
        <f aca="false">0.56*100</f>
        <v>56</v>
      </c>
      <c r="G12" s="10" t="s">
        <v>731</v>
      </c>
      <c r="H12" s="10" t="s">
        <v>724</v>
      </c>
    </row>
    <row r="13" customFormat="false" ht="14.25" hidden="false" customHeight="true" outlineLevel="0" collapsed="false">
      <c r="A13" s="7" t="n">
        <v>2023</v>
      </c>
      <c r="B13" s="23" t="n">
        <f aca="false">0.88*100</f>
        <v>88</v>
      </c>
      <c r="C13" s="8" t="n">
        <f aca="false">0.58*100</f>
        <v>58</v>
      </c>
      <c r="D13" s="8" t="n">
        <f aca="false">0.68*100</f>
        <v>68</v>
      </c>
      <c r="E13" s="8" t="n">
        <f aca="false">0.72*100</f>
        <v>72</v>
      </c>
      <c r="F13" s="8" t="n">
        <f aca="false">0.53*100</f>
        <v>53</v>
      </c>
      <c r="G13" s="7" t="s">
        <v>732</v>
      </c>
      <c r="H13" s="7" t="s">
        <v>724</v>
      </c>
    </row>
    <row r="14" customFormat="false" ht="14.25" hidden="false" customHeight="true" outlineLevel="0" collapsed="false">
      <c r="A14" s="10" t="n">
        <v>2024</v>
      </c>
      <c r="B14" s="25" t="n">
        <f aca="false">0.95*100</f>
        <v>95</v>
      </c>
      <c r="C14" s="11" t="n">
        <f aca="false">0.63*100</f>
        <v>63</v>
      </c>
      <c r="D14" s="11" t="n">
        <f aca="false">0.72*100</f>
        <v>72</v>
      </c>
      <c r="E14" s="11" t="n">
        <f aca="false">0.76*100</f>
        <v>76</v>
      </c>
      <c r="F14" s="11" t="n">
        <f aca="false">0.57*100</f>
        <v>57</v>
      </c>
      <c r="G14" s="10" t="s">
        <v>733</v>
      </c>
      <c r="H14" s="10" t="s">
        <v>724</v>
      </c>
    </row>
    <row r="16" customFormat="false" ht="31.5" hidden="false" customHeight="true" outlineLevel="0" collapsed="false">
      <c r="A16" s="19" t="s">
        <v>734</v>
      </c>
      <c r="B16" s="19"/>
      <c r="C16" s="19"/>
      <c r="D16" s="19"/>
      <c r="E16" s="19"/>
      <c r="F16" s="19"/>
      <c r="G16" s="19"/>
    </row>
  </sheetData>
  <mergeCells count="3">
    <mergeCell ref="A1:H1"/>
    <mergeCell ref="A2:H2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8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22"/>
    <col collapsed="false" customWidth="true" hidden="false" outlineLevel="0" max="9" min="9" style="1" width="14"/>
  </cols>
  <sheetData>
    <row r="1" customFormat="false" ht="30" hidden="false" customHeight="true" outlineLevel="0" collapsed="false">
      <c r="A1" s="2" t="s">
        <v>735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85</v>
      </c>
      <c r="B2" s="3"/>
      <c r="C2" s="3"/>
      <c r="D2" s="3"/>
      <c r="E2" s="3"/>
      <c r="F2" s="3"/>
      <c r="G2" s="3"/>
      <c r="H2" s="3"/>
      <c r="I2" s="3"/>
    </row>
    <row r="4" customFormat="false" ht="14.25" hidden="false" customHeight="true" outlineLevel="0" collapsed="false">
      <c r="A4" s="4" t="s">
        <v>736</v>
      </c>
      <c r="B4" s="4" t="s">
        <v>737</v>
      </c>
      <c r="C4" s="4" t="s">
        <v>738</v>
      </c>
      <c r="D4" s="4" t="s">
        <v>739</v>
      </c>
      <c r="E4" s="4" t="s">
        <v>740</v>
      </c>
      <c r="F4" s="4" t="s">
        <v>741</v>
      </c>
      <c r="G4" s="4" t="s">
        <v>742</v>
      </c>
      <c r="H4" s="4" t="s">
        <v>743</v>
      </c>
      <c r="I4" s="4" t="s">
        <v>649</v>
      </c>
    </row>
    <row r="5" customFormat="false" ht="31.5" hidden="false" customHeight="true" outlineLevel="0" collapsed="false">
      <c r="A5" s="29" t="s">
        <v>744</v>
      </c>
      <c r="B5" s="29" t="s">
        <v>745</v>
      </c>
      <c r="C5" s="29" t="s">
        <v>746</v>
      </c>
      <c r="D5" s="29" t="s">
        <v>747</v>
      </c>
      <c r="E5" s="29" t="s">
        <v>748</v>
      </c>
      <c r="F5" s="29" t="s">
        <v>19</v>
      </c>
      <c r="G5" s="29" t="s">
        <v>749</v>
      </c>
      <c r="H5" s="29" t="s">
        <v>750</v>
      </c>
      <c r="I5" s="29" t="s">
        <v>751</v>
      </c>
    </row>
    <row r="6" customFormat="false" ht="31.5" hidden="false" customHeight="true" outlineLevel="0" collapsed="false">
      <c r="A6" s="30" t="s">
        <v>752</v>
      </c>
      <c r="B6" s="30" t="s">
        <v>753</v>
      </c>
      <c r="C6" s="30" t="s">
        <v>754</v>
      </c>
      <c r="D6" s="30" t="s">
        <v>755</v>
      </c>
      <c r="E6" s="30" t="s">
        <v>756</v>
      </c>
      <c r="F6" s="30" t="s">
        <v>19</v>
      </c>
      <c r="G6" s="30" t="s">
        <v>757</v>
      </c>
      <c r="H6" s="30" t="s">
        <v>750</v>
      </c>
      <c r="I6" s="30" t="s">
        <v>751</v>
      </c>
    </row>
    <row r="7" customFormat="false" ht="31.5" hidden="false" customHeight="true" outlineLevel="0" collapsed="false">
      <c r="A7" s="29" t="s">
        <v>758</v>
      </c>
      <c r="B7" s="29" t="s">
        <v>759</v>
      </c>
      <c r="C7" s="29" t="s">
        <v>760</v>
      </c>
      <c r="D7" s="29" t="s">
        <v>761</v>
      </c>
      <c r="E7" s="29" t="s">
        <v>762</v>
      </c>
      <c r="F7" s="29" t="s">
        <v>763</v>
      </c>
      <c r="G7" s="29" t="s">
        <v>764</v>
      </c>
      <c r="H7" s="29" t="s">
        <v>765</v>
      </c>
      <c r="I7" s="29" t="s">
        <v>751</v>
      </c>
    </row>
    <row r="8" customFormat="false" ht="31.5" hidden="false" customHeight="true" outlineLevel="0" collapsed="false">
      <c r="A8" s="30" t="s">
        <v>766</v>
      </c>
      <c r="B8" s="30" t="s">
        <v>767</v>
      </c>
      <c r="C8" s="30" t="s">
        <v>768</v>
      </c>
      <c r="D8" s="30" t="s">
        <v>769</v>
      </c>
      <c r="E8" s="30" t="s">
        <v>770</v>
      </c>
      <c r="F8" s="30" t="s">
        <v>763</v>
      </c>
      <c r="G8" s="30" t="s">
        <v>771</v>
      </c>
      <c r="H8" s="30" t="s">
        <v>765</v>
      </c>
      <c r="I8" s="30" t="s">
        <v>751</v>
      </c>
    </row>
    <row r="9" customFormat="false" ht="31.5" hidden="false" customHeight="true" outlineLevel="0" collapsed="false">
      <c r="A9" s="29" t="s">
        <v>772</v>
      </c>
      <c r="B9" s="29" t="s">
        <v>773</v>
      </c>
      <c r="C9" s="29" t="s">
        <v>760</v>
      </c>
      <c r="D9" s="29" t="s">
        <v>774</v>
      </c>
      <c r="E9" s="29" t="s">
        <v>748</v>
      </c>
      <c r="F9" s="29" t="s">
        <v>763</v>
      </c>
      <c r="G9" s="29" t="s">
        <v>775</v>
      </c>
      <c r="H9" s="29" t="s">
        <v>765</v>
      </c>
      <c r="I9" s="29" t="s">
        <v>751</v>
      </c>
    </row>
    <row r="10" customFormat="false" ht="31.5" hidden="false" customHeight="true" outlineLevel="0" collapsed="false">
      <c r="A10" s="30" t="s">
        <v>776</v>
      </c>
      <c r="B10" s="30" t="s">
        <v>777</v>
      </c>
      <c r="C10" s="30" t="s">
        <v>778</v>
      </c>
      <c r="D10" s="30" t="s">
        <v>779</v>
      </c>
      <c r="E10" s="30" t="s">
        <v>756</v>
      </c>
      <c r="F10" s="30" t="s">
        <v>780</v>
      </c>
      <c r="G10" s="30" t="s">
        <v>781</v>
      </c>
      <c r="H10" s="30" t="s">
        <v>750</v>
      </c>
      <c r="I10" s="30" t="s">
        <v>751</v>
      </c>
    </row>
    <row r="11" customFormat="false" ht="31.5" hidden="false" customHeight="true" outlineLevel="0" collapsed="false">
      <c r="A11" s="29" t="s">
        <v>782</v>
      </c>
      <c r="B11" s="29" t="s">
        <v>783</v>
      </c>
      <c r="C11" s="29" t="s">
        <v>760</v>
      </c>
      <c r="D11" s="29" t="s">
        <v>747</v>
      </c>
      <c r="E11" s="29" t="s">
        <v>784</v>
      </c>
      <c r="F11" s="29" t="s">
        <v>763</v>
      </c>
      <c r="G11" s="29" t="s">
        <v>785</v>
      </c>
      <c r="H11" s="29" t="s">
        <v>765</v>
      </c>
      <c r="I11" s="29" t="s">
        <v>751</v>
      </c>
    </row>
    <row r="13" customFormat="false" ht="30" hidden="false" customHeight="true" outlineLevel="0" collapsed="false">
      <c r="A13" s="19" t="s">
        <v>786</v>
      </c>
      <c r="B13" s="19"/>
      <c r="C13" s="19"/>
      <c r="D13" s="19"/>
      <c r="E13" s="19"/>
    </row>
  </sheetData>
  <mergeCells count="3">
    <mergeCell ref="A1:I1"/>
    <mergeCell ref="A2:I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2" activeCellId="0" sqref="L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10" min="10" style="1" width="12"/>
    <col collapsed="false" customWidth="true" hidden="false" outlineLevel="0" max="12" min="12" style="1" width="18"/>
  </cols>
  <sheetData>
    <row r="1" customFormat="false" ht="30" hidden="false" customHeight="true" outlineLevel="0" collapsed="false">
      <c r="A1" s="2" t="s">
        <v>787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788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6.25" hidden="false" customHeight="true" outlineLevel="0" collapsed="false">
      <c r="A4" s="4" t="s">
        <v>86</v>
      </c>
      <c r="B4" s="4" t="s">
        <v>789</v>
      </c>
      <c r="C4" s="4" t="s">
        <v>790</v>
      </c>
      <c r="D4" s="4" t="s">
        <v>791</v>
      </c>
      <c r="E4" s="4" t="s">
        <v>792</v>
      </c>
      <c r="F4" s="4" t="s">
        <v>793</v>
      </c>
      <c r="G4" s="4" t="s">
        <v>794</v>
      </c>
      <c r="H4" s="4" t="s">
        <v>795</v>
      </c>
      <c r="I4" s="4" t="s">
        <v>796</v>
      </c>
      <c r="J4" s="4" t="s">
        <v>797</v>
      </c>
      <c r="K4" s="4" t="s">
        <v>798</v>
      </c>
      <c r="L4" s="4" t="s">
        <v>649</v>
      </c>
    </row>
    <row r="5" customFormat="false" ht="14.25" hidden="false" customHeight="true" outlineLevel="0" collapsed="false">
      <c r="A5" s="16" t="n">
        <v>2015</v>
      </c>
      <c r="B5" s="18" t="n">
        <v>28</v>
      </c>
      <c r="C5" s="18" t="n">
        <v>20</v>
      </c>
      <c r="D5" s="18" t="n">
        <v>15</v>
      </c>
      <c r="E5" s="18" t="n">
        <v>11</v>
      </c>
      <c r="F5" s="18" t="n">
        <v>10</v>
      </c>
      <c r="G5" s="18" t="n">
        <v>9</v>
      </c>
      <c r="H5" s="18" t="n">
        <v>7</v>
      </c>
      <c r="I5" s="18" t="n">
        <v>6</v>
      </c>
      <c r="J5" s="18" t="n">
        <v>24</v>
      </c>
      <c r="K5" s="18" t="n">
        <v>130</v>
      </c>
      <c r="L5" s="16" t="s">
        <v>799</v>
      </c>
    </row>
    <row r="6" customFormat="false" ht="14.25" hidden="false" customHeight="true" outlineLevel="0" collapsed="false">
      <c r="A6" s="16" t="n">
        <v>2016</v>
      </c>
      <c r="B6" s="18" t="n">
        <v>32</v>
      </c>
      <c r="C6" s="18" t="n">
        <v>22</v>
      </c>
      <c r="D6" s="18" t="n">
        <v>17</v>
      </c>
      <c r="E6" s="18" t="n">
        <v>12</v>
      </c>
      <c r="F6" s="18" t="n">
        <v>11</v>
      </c>
      <c r="G6" s="18" t="n">
        <v>10</v>
      </c>
      <c r="H6" s="18" t="n">
        <v>8</v>
      </c>
      <c r="I6" s="18" t="n">
        <v>7</v>
      </c>
      <c r="J6" s="18" t="n">
        <v>27</v>
      </c>
      <c r="K6" s="18" t="n">
        <v>146</v>
      </c>
      <c r="L6" s="16" t="s">
        <v>799</v>
      </c>
    </row>
    <row r="7" customFormat="false" ht="14.25" hidden="false" customHeight="true" outlineLevel="0" collapsed="false">
      <c r="A7" s="16" t="n">
        <v>2017</v>
      </c>
      <c r="B7" s="18" t="n">
        <v>38</v>
      </c>
      <c r="C7" s="18" t="n">
        <v>26</v>
      </c>
      <c r="D7" s="18" t="n">
        <v>20</v>
      </c>
      <c r="E7" s="18" t="n">
        <v>14</v>
      </c>
      <c r="F7" s="18" t="n">
        <v>13</v>
      </c>
      <c r="G7" s="18" t="n">
        <v>11</v>
      </c>
      <c r="H7" s="18" t="n">
        <v>9</v>
      </c>
      <c r="I7" s="18" t="n">
        <v>8</v>
      </c>
      <c r="J7" s="18" t="n">
        <v>31</v>
      </c>
      <c r="K7" s="18" t="n">
        <v>170</v>
      </c>
      <c r="L7" s="16" t="s">
        <v>799</v>
      </c>
    </row>
    <row r="8" customFormat="false" ht="14.25" hidden="false" customHeight="true" outlineLevel="0" collapsed="false">
      <c r="A8" s="16" t="n">
        <v>2018</v>
      </c>
      <c r="B8" s="18" t="n">
        <v>35</v>
      </c>
      <c r="C8" s="18" t="n">
        <v>24</v>
      </c>
      <c r="D8" s="18" t="n">
        <v>18</v>
      </c>
      <c r="E8" s="18" t="n">
        <v>13</v>
      </c>
      <c r="F8" s="18" t="n">
        <v>12</v>
      </c>
      <c r="G8" s="18" t="n">
        <v>10</v>
      </c>
      <c r="H8" s="18" t="n">
        <v>8</v>
      </c>
      <c r="I8" s="18" t="n">
        <v>7</v>
      </c>
      <c r="J8" s="18" t="n">
        <v>29</v>
      </c>
      <c r="K8" s="18" t="n">
        <v>156</v>
      </c>
      <c r="L8" s="16" t="s">
        <v>799</v>
      </c>
    </row>
    <row r="9" customFormat="false" ht="14.25" hidden="false" customHeight="true" outlineLevel="0" collapsed="false">
      <c r="A9" s="16" t="n">
        <v>2019</v>
      </c>
      <c r="B9" s="18" t="n">
        <v>40</v>
      </c>
      <c r="C9" s="18" t="n">
        <v>28</v>
      </c>
      <c r="D9" s="18" t="n">
        <v>21</v>
      </c>
      <c r="E9" s="18" t="n">
        <v>15</v>
      </c>
      <c r="F9" s="18" t="n">
        <v>14</v>
      </c>
      <c r="G9" s="18" t="n">
        <v>12</v>
      </c>
      <c r="H9" s="18" t="n">
        <v>9</v>
      </c>
      <c r="I9" s="18" t="n">
        <v>8</v>
      </c>
      <c r="J9" s="18" t="n">
        <v>33</v>
      </c>
      <c r="K9" s="18" t="n">
        <v>180</v>
      </c>
      <c r="L9" s="16" t="s">
        <v>799</v>
      </c>
    </row>
    <row r="10" customFormat="false" ht="14.25" hidden="false" customHeight="true" outlineLevel="0" collapsed="false">
      <c r="A10" s="7" t="n">
        <v>2020</v>
      </c>
      <c r="B10" s="8" t="n">
        <v>45</v>
      </c>
      <c r="C10" s="8" t="n">
        <v>31</v>
      </c>
      <c r="D10" s="8" t="n">
        <v>24</v>
      </c>
      <c r="E10" s="8" t="n">
        <v>17</v>
      </c>
      <c r="F10" s="8" t="n">
        <v>16</v>
      </c>
      <c r="G10" s="8" t="n">
        <v>13</v>
      </c>
      <c r="H10" s="8" t="n">
        <v>11</v>
      </c>
      <c r="I10" s="8" t="n">
        <v>9</v>
      </c>
      <c r="J10" s="8" t="n">
        <v>36</v>
      </c>
      <c r="K10" s="8" t="n">
        <v>202</v>
      </c>
      <c r="L10" s="7" t="s">
        <v>800</v>
      </c>
    </row>
    <row r="11" customFormat="false" ht="14.25" hidden="false" customHeight="true" outlineLevel="0" collapsed="false">
      <c r="A11" s="7" t="n">
        <v>2021</v>
      </c>
      <c r="B11" s="8" t="n">
        <v>52</v>
      </c>
      <c r="C11" s="8" t="n">
        <v>37</v>
      </c>
      <c r="D11" s="8" t="n">
        <v>28</v>
      </c>
      <c r="E11" s="8" t="n">
        <v>20</v>
      </c>
      <c r="F11" s="8" t="n">
        <v>18</v>
      </c>
      <c r="G11" s="8" t="n">
        <v>15</v>
      </c>
      <c r="H11" s="8" t="n">
        <v>13</v>
      </c>
      <c r="I11" s="8" t="n">
        <v>11</v>
      </c>
      <c r="J11" s="8" t="n">
        <v>42</v>
      </c>
      <c r="K11" s="8" t="n">
        <v>236</v>
      </c>
      <c r="L11" s="7" t="s">
        <v>800</v>
      </c>
    </row>
    <row r="12" customFormat="false" ht="14.25" hidden="false" customHeight="true" outlineLevel="0" collapsed="false">
      <c r="A12" s="7" t="n">
        <v>2022</v>
      </c>
      <c r="B12" s="8" t="n">
        <v>60</v>
      </c>
      <c r="C12" s="8" t="n">
        <v>42</v>
      </c>
      <c r="D12" s="8" t="n">
        <v>32</v>
      </c>
      <c r="E12" s="8" t="n">
        <v>23</v>
      </c>
      <c r="F12" s="8" t="n">
        <v>21</v>
      </c>
      <c r="G12" s="8" t="n">
        <v>17</v>
      </c>
      <c r="H12" s="8" t="n">
        <v>15</v>
      </c>
      <c r="I12" s="8" t="n">
        <v>13</v>
      </c>
      <c r="J12" s="8" t="n">
        <v>48</v>
      </c>
      <c r="K12" s="8" t="n">
        <v>271</v>
      </c>
      <c r="L12" s="7" t="s">
        <v>800</v>
      </c>
    </row>
    <row r="13" customFormat="false" ht="14.25" hidden="false" customHeight="true" outlineLevel="0" collapsed="false">
      <c r="A13" s="7" t="n">
        <v>2023</v>
      </c>
      <c r="B13" s="8" t="n">
        <v>54</v>
      </c>
      <c r="C13" s="8" t="n">
        <v>38</v>
      </c>
      <c r="D13" s="8" t="n">
        <v>29</v>
      </c>
      <c r="E13" s="8" t="n">
        <v>21</v>
      </c>
      <c r="F13" s="8" t="n">
        <v>19</v>
      </c>
      <c r="G13" s="8" t="n">
        <v>16</v>
      </c>
      <c r="H13" s="8" t="n">
        <v>13</v>
      </c>
      <c r="I13" s="8" t="n">
        <v>11</v>
      </c>
      <c r="J13" s="8" t="n">
        <v>44</v>
      </c>
      <c r="K13" s="8" t="n">
        <v>245</v>
      </c>
      <c r="L13" s="7" t="s">
        <v>800</v>
      </c>
    </row>
    <row r="14" customFormat="false" ht="14.25" hidden="false" customHeight="true" outlineLevel="0" collapsed="false">
      <c r="A14" s="7" t="n">
        <v>2024</v>
      </c>
      <c r="B14" s="8" t="n">
        <v>58</v>
      </c>
      <c r="C14" s="8" t="n">
        <v>41</v>
      </c>
      <c r="D14" s="8" t="n">
        <v>31</v>
      </c>
      <c r="E14" s="8" t="n">
        <v>22</v>
      </c>
      <c r="F14" s="8" t="n">
        <v>20</v>
      </c>
      <c r="G14" s="8" t="n">
        <v>17</v>
      </c>
      <c r="H14" s="8" t="n">
        <v>14</v>
      </c>
      <c r="I14" s="8" t="n">
        <v>12</v>
      </c>
      <c r="J14" s="8" t="n">
        <v>47</v>
      </c>
      <c r="K14" s="8" t="n">
        <v>262</v>
      </c>
      <c r="L14" s="7" t="s">
        <v>800</v>
      </c>
    </row>
    <row r="16" customFormat="false" ht="48" hidden="false" customHeight="true" outlineLevel="0" collapsed="false">
      <c r="A16" s="19" t="s">
        <v>801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</row>
  </sheetData>
  <mergeCells count="3">
    <mergeCell ref="A1:L1"/>
    <mergeCell ref="A2:L2"/>
    <mergeCell ref="A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1" activeCellId="0" sqref="M1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5.56"/>
    <col collapsed="false" customWidth="true" hidden="false" outlineLevel="0" max="6" min="6" style="1" width="14.67"/>
    <col collapsed="false" customWidth="true" hidden="false" outlineLevel="0" max="7" min="7" style="1" width="13.44"/>
    <col collapsed="false" customWidth="true" hidden="false" outlineLevel="0" max="8" min="8" style="1" width="12.67"/>
    <col collapsed="false" customWidth="true" hidden="false" outlineLevel="0" max="9" min="9" style="1" width="26.33"/>
  </cols>
  <sheetData>
    <row r="1" customFormat="false" ht="30" hidden="false" customHeight="true" outlineLevel="0" collapsed="false">
      <c r="A1" s="2" t="s">
        <v>802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803</v>
      </c>
      <c r="B2" s="3"/>
      <c r="C2" s="3"/>
      <c r="D2" s="3"/>
      <c r="E2" s="3"/>
      <c r="F2" s="3"/>
      <c r="G2" s="3"/>
      <c r="H2" s="3"/>
      <c r="I2" s="3"/>
    </row>
    <row r="4" customFormat="false" ht="26.25" hidden="false" customHeight="true" outlineLevel="0" collapsed="false">
      <c r="A4" s="4" t="s">
        <v>87</v>
      </c>
      <c r="B4" s="4" t="s">
        <v>804</v>
      </c>
      <c r="C4" s="4" t="s">
        <v>805</v>
      </c>
      <c r="D4" s="4" t="s">
        <v>806</v>
      </c>
      <c r="E4" s="4" t="s">
        <v>807</v>
      </c>
      <c r="F4" s="4" t="s">
        <v>808</v>
      </c>
      <c r="G4" s="4" t="s">
        <v>809</v>
      </c>
      <c r="H4" s="4" t="s">
        <v>810</v>
      </c>
      <c r="I4" s="4" t="s">
        <v>649</v>
      </c>
      <c r="J4" s="4" t="s">
        <v>811</v>
      </c>
      <c r="K4" s="4" t="s">
        <v>812</v>
      </c>
    </row>
    <row r="5" customFormat="false" ht="14.25" hidden="false" customHeight="true" outlineLevel="0" collapsed="false">
      <c r="A5" s="7" t="s">
        <v>813</v>
      </c>
      <c r="B5" s="7" t="s">
        <v>814</v>
      </c>
      <c r="C5" s="9" t="n">
        <v>103.31</v>
      </c>
      <c r="D5" s="9" t="n">
        <v>108.31</v>
      </c>
      <c r="E5" s="9" t="n">
        <v>98.31</v>
      </c>
      <c r="F5" s="7" t="n">
        <v>0</v>
      </c>
      <c r="G5" s="7" t="s">
        <v>815</v>
      </c>
      <c r="H5" s="7" t="s">
        <v>816</v>
      </c>
      <c r="I5" s="7" t="s">
        <v>817</v>
      </c>
    </row>
    <row r="6" customFormat="false" ht="14.25" hidden="false" customHeight="true" outlineLevel="0" collapsed="false">
      <c r="A6" s="10" t="s">
        <v>818</v>
      </c>
      <c r="B6" s="10" t="s">
        <v>819</v>
      </c>
      <c r="C6" s="12" t="n">
        <v>103.94</v>
      </c>
      <c r="D6" s="12" t="n">
        <v>108.94</v>
      </c>
      <c r="E6" s="12" t="n">
        <v>98.94</v>
      </c>
      <c r="F6" s="10" t="n">
        <v>0.6</v>
      </c>
      <c r="G6" s="10" t="s">
        <v>815</v>
      </c>
      <c r="H6" s="10" t="s">
        <v>816</v>
      </c>
      <c r="I6" s="10" t="s">
        <v>817</v>
      </c>
      <c r="J6" s="10" t="n">
        <v>138.85</v>
      </c>
      <c r="K6" s="10" t="n">
        <f aca="false">J6-C6</f>
        <v>34.91</v>
      </c>
    </row>
    <row r="7" customFormat="false" ht="14.25" hidden="false" customHeight="true" outlineLevel="0" collapsed="false">
      <c r="A7" s="7" t="s">
        <v>820</v>
      </c>
      <c r="B7" s="7" t="s">
        <v>821</v>
      </c>
      <c r="C7" s="9" t="n">
        <v>104.33</v>
      </c>
      <c r="D7" s="9" t="n">
        <v>109.33</v>
      </c>
      <c r="E7" s="9" t="n">
        <v>99.33</v>
      </c>
      <c r="F7" s="7" t="n">
        <v>0.4</v>
      </c>
      <c r="G7" s="7" t="s">
        <v>815</v>
      </c>
      <c r="H7" s="7" t="s">
        <v>816</v>
      </c>
      <c r="I7" s="7" t="s">
        <v>817</v>
      </c>
      <c r="J7" s="7" t="n">
        <v>140</v>
      </c>
      <c r="K7" s="7" t="n">
        <f aca="false">J7-C7</f>
        <v>35.67</v>
      </c>
    </row>
    <row r="8" customFormat="false" ht="14.25" hidden="false" customHeight="true" outlineLevel="0" collapsed="false">
      <c r="A8" s="10" t="s">
        <v>822</v>
      </c>
      <c r="B8" s="10" t="s">
        <v>823</v>
      </c>
      <c r="C8" s="12" t="n">
        <v>104.58</v>
      </c>
      <c r="D8" s="12" t="n">
        <v>109.58</v>
      </c>
      <c r="E8" s="12" t="n">
        <v>99.58</v>
      </c>
      <c r="F8" s="10" t="n">
        <v>0.2</v>
      </c>
      <c r="G8" s="10" t="s">
        <v>815</v>
      </c>
      <c r="H8" s="10" t="s">
        <v>816</v>
      </c>
      <c r="I8" s="10" t="s">
        <v>817</v>
      </c>
      <c r="J8" s="10" t="n">
        <v>142.41</v>
      </c>
      <c r="K8" s="10" t="n">
        <f aca="false">J8-C8</f>
        <v>37.83</v>
      </c>
    </row>
    <row r="9" customFormat="false" ht="14.25" hidden="false" customHeight="true" outlineLevel="0" collapsed="false">
      <c r="A9" s="7" t="s">
        <v>824</v>
      </c>
      <c r="B9" s="7" t="s">
        <v>825</v>
      </c>
      <c r="C9" s="9" t="n">
        <v>104.73</v>
      </c>
      <c r="D9" s="9" t="n">
        <v>109.73</v>
      </c>
      <c r="E9" s="9" t="n">
        <v>99.73</v>
      </c>
      <c r="F9" s="7" t="n">
        <v>0.1</v>
      </c>
      <c r="G9" s="7" t="s">
        <v>815</v>
      </c>
      <c r="H9" s="7" t="s">
        <v>826</v>
      </c>
      <c r="I9" s="7" t="s">
        <v>817</v>
      </c>
      <c r="J9" s="7" t="n">
        <v>178.67</v>
      </c>
      <c r="K9" s="7" t="n">
        <f aca="false">J9-C9</f>
        <v>73.94</v>
      </c>
    </row>
    <row r="10" customFormat="false" ht="14.25" hidden="false" customHeight="true" outlineLevel="0" collapsed="false">
      <c r="A10" s="10" t="s">
        <v>827</v>
      </c>
      <c r="B10" s="10" t="s">
        <v>828</v>
      </c>
      <c r="C10" s="12" t="n">
        <v>104.83</v>
      </c>
      <c r="D10" s="12" t="n">
        <v>109.83</v>
      </c>
      <c r="E10" s="12" t="n">
        <v>99.83</v>
      </c>
      <c r="F10" s="10" t="n">
        <v>0.1</v>
      </c>
      <c r="G10" s="10" t="s">
        <v>815</v>
      </c>
      <c r="H10" s="10" t="s">
        <v>826</v>
      </c>
      <c r="I10" s="10" t="s">
        <v>817</v>
      </c>
      <c r="J10" s="10" t="n">
        <v>165.05</v>
      </c>
      <c r="K10" s="10" t="n">
        <f aca="false">J10-C10</f>
        <v>60.22</v>
      </c>
    </row>
    <row r="11" customFormat="false" ht="14.25" hidden="false" customHeight="true" outlineLevel="0" collapsed="false">
      <c r="A11" s="7" t="s">
        <v>829</v>
      </c>
      <c r="B11" s="7" t="s">
        <v>830</v>
      </c>
      <c r="C11" s="9" t="n">
        <v>104.89</v>
      </c>
      <c r="D11" s="9" t="n">
        <v>109.89</v>
      </c>
      <c r="E11" s="9" t="n">
        <v>99.89</v>
      </c>
      <c r="F11" s="7" t="n">
        <v>0.1</v>
      </c>
      <c r="G11" s="7" t="s">
        <v>815</v>
      </c>
      <c r="H11" s="7" t="s">
        <v>826</v>
      </c>
      <c r="I11" s="7" t="s">
        <v>817</v>
      </c>
      <c r="J11" s="7" t="n">
        <v>127.94</v>
      </c>
      <c r="K11" s="7" t="n">
        <f aca="false">J11-C11</f>
        <v>23.05</v>
      </c>
    </row>
    <row r="12" customFormat="false" ht="14.25" hidden="false" customHeight="true" outlineLevel="0" collapsed="false">
      <c r="A12" s="10" t="s">
        <v>831</v>
      </c>
      <c r="B12" s="10" t="s">
        <v>832</v>
      </c>
      <c r="C12" s="12" t="n">
        <v>104.93</v>
      </c>
      <c r="D12" s="12" t="n">
        <v>109.93</v>
      </c>
      <c r="E12" s="12" t="n">
        <v>99.93</v>
      </c>
      <c r="F12" s="10" t="n">
        <v>0</v>
      </c>
      <c r="G12" s="10" t="s">
        <v>815</v>
      </c>
      <c r="H12" s="10" t="s">
        <v>826</v>
      </c>
      <c r="I12" s="10" t="s">
        <v>817</v>
      </c>
      <c r="J12" s="10" t="n">
        <v>126.61</v>
      </c>
      <c r="K12" s="10" t="n">
        <f aca="false">J12-C12</f>
        <v>21.68</v>
      </c>
    </row>
    <row r="13" customFormat="false" ht="14.25" hidden="false" customHeight="true" outlineLevel="0" collapsed="false">
      <c r="A13" s="7" t="s">
        <v>833</v>
      </c>
      <c r="B13" s="7" t="s">
        <v>834</v>
      </c>
      <c r="C13" s="9" t="n">
        <v>104.95</v>
      </c>
      <c r="D13" s="9" t="n">
        <v>109.95</v>
      </c>
      <c r="E13" s="9" t="n">
        <v>99.95</v>
      </c>
      <c r="F13" s="7" t="n">
        <v>0</v>
      </c>
      <c r="G13" s="7" t="s">
        <v>815</v>
      </c>
      <c r="H13" s="7" t="s">
        <v>835</v>
      </c>
      <c r="I13" s="7" t="s">
        <v>817</v>
      </c>
      <c r="J13" s="7" t="n">
        <v>138.25</v>
      </c>
      <c r="K13" s="7" t="n">
        <f aca="false">J13-C13</f>
        <v>33.3</v>
      </c>
    </row>
    <row r="14" customFormat="false" ht="14.25" hidden="false" customHeight="true" outlineLevel="0" collapsed="false">
      <c r="A14" s="10" t="s">
        <v>836</v>
      </c>
      <c r="B14" s="10" t="s">
        <v>837</v>
      </c>
      <c r="C14" s="12" t="n">
        <v>104.97</v>
      </c>
      <c r="D14" s="12" t="n">
        <v>109.97</v>
      </c>
      <c r="E14" s="12" t="n">
        <v>99.97</v>
      </c>
      <c r="F14" s="10" t="n">
        <v>0</v>
      </c>
      <c r="G14" s="10" t="s">
        <v>815</v>
      </c>
      <c r="H14" s="10" t="s">
        <v>835</v>
      </c>
      <c r="I14" s="10" t="s">
        <v>817</v>
      </c>
      <c r="J14" s="10" t="n">
        <v>137.35</v>
      </c>
      <c r="K14" s="10" t="n">
        <f aca="false">J14-C14</f>
        <v>32.38</v>
      </c>
    </row>
    <row r="15" customFormat="false" ht="14.25" hidden="false" customHeight="true" outlineLevel="0" collapsed="false">
      <c r="A15" s="7" t="s">
        <v>838</v>
      </c>
      <c r="B15" s="7" t="s">
        <v>839</v>
      </c>
      <c r="C15" s="9" t="n">
        <v>104.98</v>
      </c>
      <c r="D15" s="9" t="n">
        <v>109.98</v>
      </c>
      <c r="E15" s="9" t="n">
        <v>99.98</v>
      </c>
      <c r="F15" s="7" t="n">
        <v>0</v>
      </c>
      <c r="G15" s="7" t="s">
        <v>815</v>
      </c>
      <c r="H15" s="7" t="s">
        <v>835</v>
      </c>
      <c r="I15" s="7" t="s">
        <v>817</v>
      </c>
      <c r="J15" s="7" t="n">
        <v>133.35</v>
      </c>
      <c r="K15" s="7" t="n">
        <f aca="false">J15-C15</f>
        <v>28.37</v>
      </c>
    </row>
    <row r="16" customFormat="false" ht="14.25" hidden="false" customHeight="true" outlineLevel="0" collapsed="false">
      <c r="A16" s="10" t="s">
        <v>840</v>
      </c>
      <c r="B16" s="10" t="s">
        <v>841</v>
      </c>
      <c r="C16" s="12" t="n">
        <v>104.98</v>
      </c>
      <c r="D16" s="12" t="n">
        <v>109.98</v>
      </c>
      <c r="E16" s="12" t="n">
        <v>99.98</v>
      </c>
      <c r="F16" s="10" t="n">
        <v>0</v>
      </c>
      <c r="G16" s="10" t="s">
        <v>815</v>
      </c>
      <c r="H16" s="10" t="s">
        <v>835</v>
      </c>
      <c r="I16" s="10" t="s">
        <v>817</v>
      </c>
      <c r="J16" s="10" t="n">
        <v>115.65</v>
      </c>
      <c r="K16" s="10" t="n">
        <f aca="false">J16-C16</f>
        <v>10.67</v>
      </c>
    </row>
    <row r="18" customFormat="false" ht="42" hidden="false" customHeight="true" outlineLevel="0" collapsed="false">
      <c r="A18" s="19"/>
      <c r="B18" s="19"/>
      <c r="C18" s="19"/>
      <c r="D18" s="19"/>
      <c r="E18" s="19"/>
      <c r="F18" s="19"/>
      <c r="G18" s="19"/>
    </row>
    <row r="19" customFormat="false" ht="14.25" hidden="false" customHeight="true" outlineLevel="0" collapsed="false">
      <c r="A19" s="1" t="s">
        <v>842</v>
      </c>
    </row>
  </sheetData>
  <mergeCells count="3">
    <mergeCell ref="A1:I1"/>
    <mergeCell ref="A2:I2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2026-03-26T11:25:02Z</dcterms:created>
  <dc:creator>openpyxl</dc:creator>
  <dc:description/>
  <dc:language>en-US</dc:language>
  <cp:lastModifiedBy>Shobha Rathnayake</cp:lastModifiedBy>
  <dcterms:modified xsi:type="dcterms:W3CDTF">2026-03-28T15:15:13Z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